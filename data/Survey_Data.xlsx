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NCKH\Enhanced_EDA_Visualization\enhanced-visual-eda\data\"/>
    </mc:Choice>
  </mc:AlternateContent>
  <xr:revisionPtr revIDLastSave="0" documentId="13_ncr:1_{C8E118DA-55CE-4614-93AF-2816B58119E5}" xr6:coauthVersionLast="47" xr6:coauthVersionMax="47" xr10:uidLastSave="{00000000-0000-0000-0000-000000000000}"/>
  <bookViews>
    <workbookView xWindow="-120" yWindow="-120" windowWidth="29040" windowHeight="15840" xr2:uid="{DA076D5C-C87C-4C1C-A459-B3D043FD35D1}"/>
  </bookViews>
  <sheets>
    <sheet name="raw_check" sheetId="4" r:id="rId1"/>
    <sheet name="conve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2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2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2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2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2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2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2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2" i="2"/>
</calcChain>
</file>

<file path=xl/sharedStrings.xml><?xml version="1.0" encoding="utf-8"?>
<sst xmlns="http://schemas.openxmlformats.org/spreadsheetml/2006/main" count="431" uniqueCount="145">
  <si>
    <t>Model</t>
  </si>
  <si>
    <t>Student</t>
  </si>
  <si>
    <t>B1</t>
  </si>
  <si>
    <t>BT1</t>
  </si>
  <si>
    <t>B2</t>
  </si>
  <si>
    <t>BT2</t>
  </si>
  <si>
    <t>B3</t>
  </si>
  <si>
    <t>BT3</t>
  </si>
  <si>
    <t>B4</t>
  </si>
  <si>
    <t>BT4</t>
  </si>
  <si>
    <t>B5</t>
  </si>
  <si>
    <t>BT5</t>
  </si>
  <si>
    <t>B6</t>
  </si>
  <si>
    <t>BT6</t>
  </si>
  <si>
    <t>Base</t>
  </si>
  <si>
    <t>Enhanced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</si>
  <si>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</si>
  <si>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</si>
  <si>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</si>
  <si>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</si>
  <si>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</si>
  <si>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</si>
  <si>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</si>
  <si>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</si>
  <si>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</si>
  <si>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</si>
  <si>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</si>
  <si>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</si>
  <si>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</si>
  <si>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</si>
  <si>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</si>
  <si>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</si>
  <si>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</si>
  <si>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</si>
  <si>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</si>
  <si>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</si>
  <si>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</si>
  <si>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</si>
  <si>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</si>
  <si>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</si>
  <si>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</si>
  <si>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</si>
  <si>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</si>
  <si>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Accuracy</t>
  </si>
  <si>
    <t>Time</t>
  </si>
  <si>
    <t>Confidence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</si>
  <si>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</si>
  <si>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</si>
  <si>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</si>
  <si>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</si>
  <si>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</si>
  <si>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</si>
  <si>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</si>
  <si>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</si>
  <si>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</si>
  <si>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</si>
  <si>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</si>
  <si>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Check_4</t>
  </si>
  <si>
    <t>C12</t>
  </si>
  <si>
    <t>C13</t>
  </si>
  <si>
    <t>Check_3</t>
  </si>
  <si>
    <t>C14</t>
  </si>
  <si>
    <t>C15</t>
  </si>
  <si>
    <t>PC1</t>
  </si>
  <si>
    <t>VA1</t>
  </si>
  <si>
    <t>PC2</t>
  </si>
  <si>
    <t>EF1</t>
  </si>
  <si>
    <t>CF1</t>
  </si>
  <si>
    <t>SC1</t>
  </si>
  <si>
    <t>CE1</t>
  </si>
  <si>
    <t>CLE1_Rev</t>
  </si>
  <si>
    <t>UI1</t>
  </si>
  <si>
    <t>DS1</t>
  </si>
  <si>
    <t>MD</t>
  </si>
  <si>
    <t>TD</t>
  </si>
  <si>
    <t>EF</t>
  </si>
  <si>
    <t>PV_Rev</t>
  </si>
  <si>
    <t>FR</t>
  </si>
  <si>
    <t>PC</t>
  </si>
  <si>
    <t>CF</t>
  </si>
  <si>
    <t>CE</t>
  </si>
  <si>
    <t>CL</t>
  </si>
  <si>
    <t>DS</t>
  </si>
  <si>
    <t>UI</t>
  </si>
  <si>
    <t>VA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</si>
  <si>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</si>
  <si>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</si>
  <si>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</si>
  <si>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</si>
  <si>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</si>
  <si>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</si>
  <si>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</si>
  <si>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</si>
  <si>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</si>
  <si>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</si>
  <si>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</si>
  <si>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</si>
  <si>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</si>
  <si>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</si>
  <si>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</si>
  <si>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</si>
  <si>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</si>
  <si>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</si>
  <si>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</si>
  <si>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</si>
  <si>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</si>
  <si>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</si>
  <si>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</si>
  <si>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</si>
  <si>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</si>
  <si>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</si>
  <si>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</si>
  <si>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</si>
  <si>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</si>
  <si>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</si>
  <si>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</si>
  <si>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</si>
  <si>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</si>
  <si>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</si>
  <si>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</si>
  <si>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</si>
  <si>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</si>
  <si>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</si>
  <si>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</si>
  <si>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</si>
  <si>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</si>
  <si>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</si>
  <si>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</si>
  <si>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</si>
  <si>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</si>
  <si>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</si>
  <si>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</si>
  <si>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</si>
  <si>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</si>
  <si>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</si>
  <si>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</si>
  <si>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</si>
  <si>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</si>
  <si>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</si>
  <si>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</si>
  <si>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</si>
  <si>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</si>
  <si>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</si>
  <si>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B46</t>
  </si>
  <si>
    <t>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</si>
</sst>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BB45-28FC-4600-8170-F429CD4037AF}">
  <dimension ref="A1:AE95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Z18" sqref="Z18"/>
    </sheetView>
  </sheetViews>
  <sheetFormatPr defaultRowHeight="15" x14ac:dyDescent="0.25"/>
  <cols>
    <col min="3" max="3" width="7.140625" customWidth="1"/>
    <col min="6" max="6" width="13.5703125" customWidth="1"/>
    <col min="20" max="20" width="9.140625" style="2"/>
    <col min="29" max="29" width="9.140625" style="2"/>
  </cols>
  <sheetData>
    <row r="1" spans="1:31" x14ac:dyDescent="0.25">
      <c r="O1" s="3" t="s">
        <v>63</v>
      </c>
      <c r="P1" t="s">
        <v>64</v>
      </c>
      <c r="Q1" s="3" t="s">
        <v>65</v>
      </c>
      <c r="R1" t="s">
        <v>66</v>
      </c>
      <c r="S1" t="s">
        <v>67</v>
      </c>
      <c r="U1" s="3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D1" t="s">
        <v>76</v>
      </c>
      <c r="AE1" t="s">
        <v>77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s="2" t="s">
        <v>57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58</v>
      </c>
      <c r="AB2" t="s">
        <v>59</v>
      </c>
      <c r="AC2" s="2" t="s">
        <v>60</v>
      </c>
      <c r="AD2" t="s">
        <v>61</v>
      </c>
      <c r="AE2" t="s">
        <v>62</v>
      </c>
    </row>
    <row r="3" spans="1:31" x14ac:dyDescent="0.25">
      <c r="A3" t="s">
        <v>14</v>
      </c>
      <c r="B3" t="s">
        <v>2</v>
      </c>
      <c r="C3">
        <v>1</v>
      </c>
      <c r="D3">
        <v>50.155000000000001</v>
      </c>
      <c r="E3">
        <v>1</v>
      </c>
      <c r="F3">
        <v>29.582999999999998</v>
      </c>
      <c r="G3">
        <v>1</v>
      </c>
      <c r="H3">
        <v>79.572000000000003</v>
      </c>
      <c r="I3">
        <v>1</v>
      </c>
      <c r="J3">
        <v>20.34</v>
      </c>
      <c r="K3">
        <v>1</v>
      </c>
      <c r="L3">
        <v>74.376999999999995</v>
      </c>
      <c r="M3">
        <v>4</v>
      </c>
      <c r="N3">
        <v>3.641</v>
      </c>
      <c r="O3">
        <v>5</v>
      </c>
      <c r="P3">
        <v>3</v>
      </c>
      <c r="Q3">
        <v>4</v>
      </c>
      <c r="R3">
        <v>5</v>
      </c>
      <c r="S3">
        <v>4</v>
      </c>
      <c r="T3" s="2">
        <v>4</v>
      </c>
      <c r="U3">
        <v>3</v>
      </c>
      <c r="V3">
        <v>4</v>
      </c>
      <c r="W3">
        <v>5</v>
      </c>
      <c r="X3">
        <v>1</v>
      </c>
      <c r="Y3">
        <v>4</v>
      </c>
      <c r="Z3">
        <v>3</v>
      </c>
      <c r="AA3">
        <v>2</v>
      </c>
      <c r="AB3">
        <v>3</v>
      </c>
      <c r="AC3" s="2">
        <v>3</v>
      </c>
      <c r="AD3">
        <v>4</v>
      </c>
      <c r="AE3">
        <v>3</v>
      </c>
    </row>
    <row r="4" spans="1:31" x14ac:dyDescent="0.25">
      <c r="A4" t="s">
        <v>14</v>
      </c>
      <c r="B4" t="s">
        <v>4</v>
      </c>
      <c r="C4">
        <v>1</v>
      </c>
      <c r="D4">
        <v>72.248999999999995</v>
      </c>
      <c r="E4">
        <v>1</v>
      </c>
      <c r="F4">
        <v>81.811000000000007</v>
      </c>
      <c r="G4">
        <v>1</v>
      </c>
      <c r="H4">
        <v>126.767</v>
      </c>
      <c r="I4">
        <v>1</v>
      </c>
      <c r="J4">
        <v>21.286000000000001</v>
      </c>
      <c r="K4">
        <v>1</v>
      </c>
      <c r="L4">
        <v>88.971999999999994</v>
      </c>
      <c r="M4">
        <v>3</v>
      </c>
      <c r="N4">
        <v>10.644</v>
      </c>
      <c r="O4">
        <v>4</v>
      </c>
      <c r="P4">
        <v>5</v>
      </c>
      <c r="Q4">
        <v>3</v>
      </c>
      <c r="R4">
        <v>4</v>
      </c>
      <c r="S4">
        <v>4</v>
      </c>
      <c r="T4" s="2">
        <v>4</v>
      </c>
      <c r="U4">
        <v>4</v>
      </c>
      <c r="V4">
        <v>5</v>
      </c>
      <c r="W4">
        <v>3</v>
      </c>
      <c r="X4">
        <v>3</v>
      </c>
      <c r="Y4">
        <v>5</v>
      </c>
      <c r="Z4">
        <v>3</v>
      </c>
      <c r="AA4">
        <v>2</v>
      </c>
      <c r="AB4">
        <v>2</v>
      </c>
      <c r="AC4" s="2">
        <v>3</v>
      </c>
      <c r="AD4">
        <v>3</v>
      </c>
      <c r="AE4">
        <v>1</v>
      </c>
    </row>
    <row r="5" spans="1:31" x14ac:dyDescent="0.25">
      <c r="A5" t="s">
        <v>14</v>
      </c>
      <c r="B5" t="s">
        <v>6</v>
      </c>
      <c r="C5">
        <v>1</v>
      </c>
      <c r="D5">
        <v>90.233999999999995</v>
      </c>
      <c r="E5">
        <v>1</v>
      </c>
      <c r="F5">
        <v>91.759</v>
      </c>
      <c r="G5">
        <v>1</v>
      </c>
      <c r="H5">
        <v>74.162999999999997</v>
      </c>
      <c r="I5">
        <v>0</v>
      </c>
      <c r="J5">
        <v>66.995000000000005</v>
      </c>
      <c r="K5">
        <v>1</v>
      </c>
      <c r="L5">
        <v>101.899</v>
      </c>
      <c r="M5">
        <v>4</v>
      </c>
      <c r="N5">
        <v>3.5579999999999998</v>
      </c>
      <c r="O5">
        <v>2</v>
      </c>
      <c r="P5">
        <v>3</v>
      </c>
      <c r="Q5">
        <v>2</v>
      </c>
      <c r="R5">
        <v>2</v>
      </c>
      <c r="S5">
        <v>2</v>
      </c>
      <c r="T5" s="2">
        <v>4</v>
      </c>
      <c r="U5">
        <v>3</v>
      </c>
      <c r="V5">
        <v>5</v>
      </c>
      <c r="W5">
        <v>4</v>
      </c>
      <c r="X5">
        <v>3</v>
      </c>
      <c r="Y5">
        <v>3</v>
      </c>
      <c r="Z5">
        <v>3</v>
      </c>
      <c r="AA5">
        <v>2</v>
      </c>
      <c r="AB5">
        <v>3</v>
      </c>
      <c r="AC5" s="2">
        <v>3</v>
      </c>
      <c r="AD5">
        <v>3</v>
      </c>
      <c r="AE5">
        <v>2</v>
      </c>
    </row>
    <row r="6" spans="1:31" x14ac:dyDescent="0.25">
      <c r="A6" t="s">
        <v>14</v>
      </c>
      <c r="B6" t="s">
        <v>8</v>
      </c>
      <c r="C6">
        <v>1</v>
      </c>
      <c r="D6">
        <v>84.162999999999997</v>
      </c>
      <c r="E6">
        <v>1</v>
      </c>
      <c r="F6">
        <v>51.350999999999999</v>
      </c>
      <c r="G6">
        <v>1</v>
      </c>
      <c r="H6">
        <v>67.534999999999997</v>
      </c>
      <c r="I6">
        <v>0</v>
      </c>
      <c r="J6">
        <v>66.328000000000003</v>
      </c>
      <c r="K6">
        <v>1</v>
      </c>
      <c r="L6">
        <v>63.582999999999998</v>
      </c>
      <c r="M6">
        <v>2</v>
      </c>
      <c r="N6">
        <v>6.4349999999999996</v>
      </c>
      <c r="O6">
        <v>2</v>
      </c>
      <c r="P6">
        <v>2</v>
      </c>
      <c r="Q6">
        <v>2</v>
      </c>
      <c r="R6">
        <v>1</v>
      </c>
      <c r="S6">
        <v>1</v>
      </c>
      <c r="T6" s="2">
        <v>4</v>
      </c>
      <c r="U6">
        <v>2</v>
      </c>
      <c r="V6">
        <v>4</v>
      </c>
      <c r="W6">
        <v>3</v>
      </c>
      <c r="X6">
        <v>1</v>
      </c>
      <c r="Y6">
        <v>1</v>
      </c>
      <c r="Z6">
        <v>1</v>
      </c>
      <c r="AA6">
        <v>5</v>
      </c>
      <c r="AB6">
        <v>4</v>
      </c>
      <c r="AC6" s="2">
        <v>3</v>
      </c>
      <c r="AD6">
        <v>2</v>
      </c>
      <c r="AE6">
        <v>1</v>
      </c>
    </row>
    <row r="7" spans="1:31" x14ac:dyDescent="0.25">
      <c r="A7" t="s">
        <v>14</v>
      </c>
      <c r="B7" t="s">
        <v>10</v>
      </c>
      <c r="C7">
        <v>1</v>
      </c>
      <c r="D7">
        <v>128.33600000000001</v>
      </c>
      <c r="E7">
        <v>1</v>
      </c>
      <c r="F7">
        <v>157.50700000000001</v>
      </c>
      <c r="G7">
        <v>1</v>
      </c>
      <c r="H7">
        <v>71.867000000000004</v>
      </c>
      <c r="I7">
        <v>1</v>
      </c>
      <c r="J7">
        <v>75.599000000000004</v>
      </c>
      <c r="K7">
        <v>1</v>
      </c>
      <c r="L7">
        <v>78.296999999999997</v>
      </c>
      <c r="M7">
        <v>4</v>
      </c>
      <c r="N7">
        <v>6.11</v>
      </c>
      <c r="O7">
        <v>5</v>
      </c>
      <c r="P7">
        <v>5</v>
      </c>
      <c r="Q7">
        <v>5</v>
      </c>
      <c r="R7">
        <v>5</v>
      </c>
      <c r="S7">
        <v>5</v>
      </c>
      <c r="T7" s="2">
        <v>4</v>
      </c>
      <c r="U7">
        <v>5</v>
      </c>
      <c r="V7">
        <v>5</v>
      </c>
      <c r="W7">
        <v>5</v>
      </c>
      <c r="X7">
        <v>5</v>
      </c>
      <c r="Y7">
        <v>5</v>
      </c>
      <c r="Z7">
        <v>4</v>
      </c>
      <c r="AA7">
        <v>4</v>
      </c>
      <c r="AB7">
        <v>4</v>
      </c>
      <c r="AC7" s="2">
        <v>3</v>
      </c>
      <c r="AD7">
        <v>4</v>
      </c>
      <c r="AE7">
        <v>2</v>
      </c>
    </row>
    <row r="8" spans="1:31" x14ac:dyDescent="0.25">
      <c r="A8" t="s">
        <v>14</v>
      </c>
      <c r="B8" t="s">
        <v>12</v>
      </c>
      <c r="C8">
        <v>1</v>
      </c>
      <c r="D8">
        <v>56.805</v>
      </c>
      <c r="E8">
        <v>1</v>
      </c>
      <c r="F8">
        <v>114.476</v>
      </c>
      <c r="G8">
        <v>1</v>
      </c>
      <c r="H8">
        <v>84.028999999999996</v>
      </c>
      <c r="I8">
        <v>1</v>
      </c>
      <c r="J8">
        <v>121.72</v>
      </c>
      <c r="K8">
        <v>0</v>
      </c>
      <c r="L8" s="1">
        <v>85.846999999999994</v>
      </c>
      <c r="M8">
        <v>3</v>
      </c>
      <c r="N8">
        <v>15.738</v>
      </c>
      <c r="O8">
        <v>2</v>
      </c>
      <c r="P8">
        <v>4</v>
      </c>
      <c r="Q8">
        <v>2</v>
      </c>
      <c r="R8">
        <v>2</v>
      </c>
      <c r="S8">
        <v>3</v>
      </c>
      <c r="T8" s="2">
        <v>4</v>
      </c>
      <c r="U8">
        <v>3</v>
      </c>
      <c r="V8">
        <v>5</v>
      </c>
      <c r="W8">
        <v>2</v>
      </c>
      <c r="X8">
        <v>1</v>
      </c>
      <c r="Y8">
        <v>2</v>
      </c>
      <c r="Z8">
        <v>5</v>
      </c>
      <c r="AA8">
        <v>3</v>
      </c>
      <c r="AB8">
        <v>4</v>
      </c>
      <c r="AC8" s="2">
        <v>3</v>
      </c>
      <c r="AD8">
        <v>3</v>
      </c>
      <c r="AE8">
        <v>5</v>
      </c>
    </row>
    <row r="9" spans="1:31" x14ac:dyDescent="0.25">
      <c r="A9" t="s">
        <v>14</v>
      </c>
      <c r="B9" t="s">
        <v>16</v>
      </c>
      <c r="C9">
        <v>0</v>
      </c>
      <c r="D9">
        <v>39.534999999999997</v>
      </c>
      <c r="E9">
        <v>0</v>
      </c>
      <c r="F9">
        <v>20.042999999999999</v>
      </c>
      <c r="G9">
        <v>0</v>
      </c>
      <c r="H9">
        <v>26.509</v>
      </c>
      <c r="I9">
        <v>1</v>
      </c>
      <c r="J9">
        <v>27.4</v>
      </c>
      <c r="K9">
        <v>1</v>
      </c>
      <c r="L9">
        <v>15.132999999999999</v>
      </c>
      <c r="M9">
        <v>3</v>
      </c>
      <c r="N9">
        <v>5.4749999999999996</v>
      </c>
      <c r="O9">
        <v>4</v>
      </c>
      <c r="P9">
        <v>2</v>
      </c>
      <c r="Q9">
        <v>3</v>
      </c>
      <c r="R9">
        <v>5</v>
      </c>
      <c r="S9">
        <v>4</v>
      </c>
      <c r="T9" s="2">
        <v>4</v>
      </c>
      <c r="U9">
        <v>3</v>
      </c>
      <c r="V9">
        <v>4</v>
      </c>
      <c r="W9">
        <v>3</v>
      </c>
      <c r="X9">
        <v>4</v>
      </c>
      <c r="Y9">
        <v>3</v>
      </c>
      <c r="Z9">
        <v>3</v>
      </c>
      <c r="AA9">
        <v>2</v>
      </c>
      <c r="AB9">
        <v>3</v>
      </c>
      <c r="AC9" s="2">
        <v>3</v>
      </c>
      <c r="AD9">
        <v>4</v>
      </c>
      <c r="AE9">
        <v>3</v>
      </c>
    </row>
    <row r="10" spans="1:31" x14ac:dyDescent="0.25">
      <c r="A10" t="s">
        <v>14</v>
      </c>
      <c r="B10" t="s">
        <v>17</v>
      </c>
      <c r="C10">
        <v>1</v>
      </c>
      <c r="D10">
        <v>97.200999999999993</v>
      </c>
      <c r="E10">
        <v>1</v>
      </c>
      <c r="F10">
        <v>66.769000000000005</v>
      </c>
      <c r="G10">
        <v>0</v>
      </c>
      <c r="H10">
        <v>53.695</v>
      </c>
      <c r="I10">
        <v>0</v>
      </c>
      <c r="J10">
        <v>94.123999999999995</v>
      </c>
      <c r="K10">
        <v>1</v>
      </c>
      <c r="L10">
        <v>53.548000000000002</v>
      </c>
      <c r="M10">
        <v>2</v>
      </c>
      <c r="N10">
        <v>7.2619999999999996</v>
      </c>
      <c r="O10">
        <v>2</v>
      </c>
      <c r="P10">
        <v>1</v>
      </c>
      <c r="Q10">
        <v>1</v>
      </c>
      <c r="R10">
        <v>2</v>
      </c>
      <c r="S10">
        <v>2</v>
      </c>
      <c r="T10" s="2">
        <v>4</v>
      </c>
      <c r="U10">
        <v>4</v>
      </c>
      <c r="V10">
        <v>1</v>
      </c>
      <c r="W10">
        <v>3</v>
      </c>
      <c r="X10">
        <v>1</v>
      </c>
      <c r="Y10">
        <v>1</v>
      </c>
      <c r="Z10">
        <v>3</v>
      </c>
      <c r="AA10">
        <v>4</v>
      </c>
      <c r="AB10">
        <v>4</v>
      </c>
      <c r="AC10" s="2">
        <v>3</v>
      </c>
      <c r="AD10">
        <v>2</v>
      </c>
      <c r="AE10">
        <v>4</v>
      </c>
    </row>
    <row r="11" spans="1:31" x14ac:dyDescent="0.25">
      <c r="A11" t="s">
        <v>14</v>
      </c>
      <c r="B11" t="s">
        <v>18</v>
      </c>
      <c r="C11">
        <v>0</v>
      </c>
      <c r="D11">
        <v>94.363</v>
      </c>
      <c r="E11">
        <v>1</v>
      </c>
      <c r="F11">
        <v>134.55199999999999</v>
      </c>
      <c r="G11">
        <v>0</v>
      </c>
      <c r="H11">
        <v>164.61500000000001</v>
      </c>
      <c r="I11">
        <v>0</v>
      </c>
      <c r="J11">
        <v>109.273</v>
      </c>
      <c r="K11">
        <v>1</v>
      </c>
      <c r="L11">
        <v>100.547</v>
      </c>
      <c r="M11">
        <v>4</v>
      </c>
      <c r="N11">
        <v>11.667</v>
      </c>
      <c r="O11">
        <v>4</v>
      </c>
      <c r="P11">
        <v>4</v>
      </c>
      <c r="Q11">
        <v>4</v>
      </c>
      <c r="R11">
        <v>5</v>
      </c>
      <c r="S11">
        <v>4</v>
      </c>
      <c r="T11" s="2">
        <v>4</v>
      </c>
      <c r="U11">
        <v>3</v>
      </c>
      <c r="V11">
        <v>5</v>
      </c>
      <c r="W11">
        <v>3</v>
      </c>
      <c r="X11">
        <v>5</v>
      </c>
      <c r="Y11">
        <v>4</v>
      </c>
      <c r="Z11">
        <v>3</v>
      </c>
      <c r="AA11">
        <v>2</v>
      </c>
      <c r="AB11">
        <v>5</v>
      </c>
      <c r="AC11" s="2">
        <v>3</v>
      </c>
      <c r="AD11">
        <v>4</v>
      </c>
      <c r="AE11">
        <v>2</v>
      </c>
    </row>
    <row r="12" spans="1:31" x14ac:dyDescent="0.25">
      <c r="A12" t="s">
        <v>14</v>
      </c>
      <c r="B12" t="s">
        <v>19</v>
      </c>
      <c r="C12">
        <v>1</v>
      </c>
      <c r="D12">
        <v>73.754999999999995</v>
      </c>
      <c r="E12">
        <v>1</v>
      </c>
      <c r="F12">
        <v>104.163</v>
      </c>
      <c r="G12">
        <v>1</v>
      </c>
      <c r="H12">
        <v>103.395</v>
      </c>
      <c r="I12">
        <v>1</v>
      </c>
      <c r="J12">
        <v>64.853999999999999</v>
      </c>
      <c r="K12">
        <v>1</v>
      </c>
      <c r="L12">
        <v>43.241</v>
      </c>
      <c r="M12">
        <v>2</v>
      </c>
      <c r="N12">
        <v>16.542000000000002</v>
      </c>
      <c r="O12">
        <v>2</v>
      </c>
      <c r="P12">
        <v>2</v>
      </c>
      <c r="Q12">
        <v>1</v>
      </c>
      <c r="R12">
        <v>2</v>
      </c>
      <c r="S12">
        <v>2</v>
      </c>
      <c r="T12" s="2">
        <v>4</v>
      </c>
      <c r="U12">
        <v>3</v>
      </c>
      <c r="V12">
        <v>5</v>
      </c>
      <c r="W12">
        <v>3</v>
      </c>
      <c r="X12">
        <v>1</v>
      </c>
      <c r="Y12">
        <v>1</v>
      </c>
      <c r="Z12">
        <v>5</v>
      </c>
      <c r="AA12">
        <v>3</v>
      </c>
      <c r="AB12">
        <v>2</v>
      </c>
      <c r="AC12" s="2">
        <v>3</v>
      </c>
      <c r="AD12">
        <v>3</v>
      </c>
      <c r="AE12">
        <v>5</v>
      </c>
    </row>
    <row r="13" spans="1:31" x14ac:dyDescent="0.25">
      <c r="A13" t="s">
        <v>14</v>
      </c>
      <c r="B13" t="s">
        <v>20</v>
      </c>
      <c r="C13">
        <v>1</v>
      </c>
      <c r="D13">
        <v>59.43</v>
      </c>
      <c r="E13">
        <v>1</v>
      </c>
      <c r="F13">
        <v>61.164999999999999</v>
      </c>
      <c r="G13">
        <v>0</v>
      </c>
      <c r="H13">
        <v>181.27199999999999</v>
      </c>
      <c r="I13">
        <v>0</v>
      </c>
      <c r="J13">
        <v>119.923</v>
      </c>
      <c r="K13">
        <v>0</v>
      </c>
      <c r="L13" s="1">
        <v>54.713000000000001</v>
      </c>
      <c r="M13">
        <v>4</v>
      </c>
      <c r="N13" s="1">
        <v>9.7479999999999993</v>
      </c>
      <c r="O13">
        <v>5</v>
      </c>
      <c r="P13">
        <v>5</v>
      </c>
      <c r="Q13">
        <v>4</v>
      </c>
      <c r="R13">
        <v>5</v>
      </c>
      <c r="S13">
        <v>4</v>
      </c>
      <c r="T13" s="2">
        <v>4</v>
      </c>
      <c r="U13">
        <v>4</v>
      </c>
      <c r="V13">
        <v>5</v>
      </c>
      <c r="W13">
        <v>5</v>
      </c>
      <c r="X13">
        <v>4</v>
      </c>
      <c r="Y13">
        <v>4</v>
      </c>
      <c r="Z13">
        <v>4</v>
      </c>
      <c r="AA13">
        <v>4</v>
      </c>
      <c r="AB13">
        <v>4</v>
      </c>
      <c r="AC13" s="2">
        <v>3</v>
      </c>
      <c r="AD13">
        <v>4</v>
      </c>
      <c r="AE13">
        <v>4</v>
      </c>
    </row>
    <row r="14" spans="1:31" x14ac:dyDescent="0.25">
      <c r="A14" t="s">
        <v>14</v>
      </c>
      <c r="B14" t="s">
        <v>21</v>
      </c>
      <c r="C14">
        <v>0</v>
      </c>
      <c r="D14">
        <v>152.91</v>
      </c>
      <c r="E14">
        <v>1</v>
      </c>
      <c r="F14">
        <v>82.963999999999999</v>
      </c>
      <c r="G14">
        <v>1</v>
      </c>
      <c r="H14">
        <v>119.687</v>
      </c>
      <c r="I14">
        <v>1</v>
      </c>
      <c r="J14">
        <v>48.456000000000003</v>
      </c>
      <c r="K14">
        <v>1</v>
      </c>
      <c r="L14">
        <v>94.358999999999995</v>
      </c>
      <c r="M14">
        <v>4</v>
      </c>
      <c r="N14">
        <v>9.968</v>
      </c>
      <c r="O14">
        <v>4</v>
      </c>
      <c r="P14">
        <v>4</v>
      </c>
      <c r="Q14">
        <v>4</v>
      </c>
      <c r="R14">
        <v>4</v>
      </c>
      <c r="S14">
        <v>4</v>
      </c>
      <c r="T14" s="2">
        <v>4</v>
      </c>
      <c r="U14">
        <v>5</v>
      </c>
      <c r="V14">
        <v>5</v>
      </c>
      <c r="W14">
        <v>4</v>
      </c>
      <c r="X14">
        <v>3</v>
      </c>
      <c r="Y14">
        <v>5</v>
      </c>
      <c r="Z14">
        <v>4</v>
      </c>
      <c r="AA14">
        <v>3</v>
      </c>
      <c r="AB14">
        <v>4</v>
      </c>
      <c r="AC14" s="2">
        <v>3</v>
      </c>
      <c r="AD14">
        <v>3</v>
      </c>
      <c r="AE14">
        <v>2</v>
      </c>
    </row>
    <row r="15" spans="1:31" x14ac:dyDescent="0.25">
      <c r="A15" t="s">
        <v>14</v>
      </c>
      <c r="B15" t="s">
        <v>22</v>
      </c>
      <c r="C15">
        <v>1</v>
      </c>
      <c r="D15">
        <v>95.073999999999998</v>
      </c>
      <c r="E15">
        <v>1</v>
      </c>
      <c r="F15">
        <v>55.878</v>
      </c>
      <c r="G15">
        <v>1</v>
      </c>
      <c r="H15">
        <v>86.07</v>
      </c>
      <c r="I15">
        <v>1</v>
      </c>
      <c r="J15">
        <v>379.08100000000002</v>
      </c>
      <c r="K15">
        <v>1</v>
      </c>
      <c r="L15">
        <v>251.04900000000001</v>
      </c>
      <c r="M15">
        <v>3</v>
      </c>
      <c r="N15">
        <v>10.531000000000001</v>
      </c>
      <c r="O15">
        <v>4</v>
      </c>
      <c r="P15">
        <v>3</v>
      </c>
      <c r="Q15">
        <v>4</v>
      </c>
      <c r="R15">
        <v>3</v>
      </c>
      <c r="S15">
        <v>3</v>
      </c>
      <c r="T15" s="2">
        <v>4</v>
      </c>
      <c r="U15">
        <v>3</v>
      </c>
      <c r="V15">
        <v>4</v>
      </c>
      <c r="W15">
        <v>3</v>
      </c>
      <c r="X15">
        <v>4</v>
      </c>
      <c r="Y15">
        <v>4</v>
      </c>
      <c r="Z15">
        <v>3</v>
      </c>
      <c r="AA15">
        <v>3</v>
      </c>
      <c r="AB15">
        <v>3</v>
      </c>
      <c r="AC15" s="2">
        <v>3</v>
      </c>
      <c r="AD15">
        <v>3</v>
      </c>
      <c r="AE15">
        <v>3</v>
      </c>
    </row>
    <row r="16" spans="1:31" x14ac:dyDescent="0.25">
      <c r="A16" t="s">
        <v>14</v>
      </c>
      <c r="B16" t="s">
        <v>23</v>
      </c>
      <c r="C16">
        <v>1</v>
      </c>
      <c r="D16">
        <v>167.53</v>
      </c>
      <c r="E16">
        <v>1</v>
      </c>
      <c r="F16">
        <v>79.988</v>
      </c>
      <c r="G16">
        <v>1</v>
      </c>
      <c r="H16">
        <v>147.01499999999999</v>
      </c>
      <c r="I16">
        <v>1</v>
      </c>
      <c r="J16">
        <v>131.78</v>
      </c>
      <c r="K16">
        <v>1</v>
      </c>
      <c r="L16">
        <v>197.53200000000001</v>
      </c>
      <c r="M16">
        <v>3</v>
      </c>
      <c r="N16">
        <v>15.234999999999999</v>
      </c>
      <c r="O16">
        <v>3</v>
      </c>
      <c r="P16">
        <v>2</v>
      </c>
      <c r="Q16">
        <v>2</v>
      </c>
      <c r="R16">
        <v>2</v>
      </c>
      <c r="S16">
        <v>2</v>
      </c>
      <c r="T16" s="2">
        <v>4</v>
      </c>
      <c r="U16">
        <v>3</v>
      </c>
      <c r="V16">
        <v>4</v>
      </c>
      <c r="W16">
        <v>2</v>
      </c>
      <c r="X16">
        <v>2</v>
      </c>
      <c r="Y16">
        <v>2</v>
      </c>
      <c r="Z16">
        <v>3</v>
      </c>
      <c r="AA16">
        <v>3</v>
      </c>
      <c r="AB16">
        <v>4</v>
      </c>
      <c r="AC16" s="2">
        <v>3</v>
      </c>
      <c r="AD16">
        <v>3</v>
      </c>
      <c r="AE16">
        <v>3</v>
      </c>
    </row>
    <row r="17" spans="1:31" x14ac:dyDescent="0.25">
      <c r="A17" t="s">
        <v>14</v>
      </c>
      <c r="B17" t="s">
        <v>24</v>
      </c>
      <c r="C17">
        <v>1</v>
      </c>
      <c r="D17">
        <v>166.24</v>
      </c>
      <c r="E17">
        <v>0</v>
      </c>
      <c r="F17">
        <v>103.149</v>
      </c>
      <c r="G17">
        <v>1</v>
      </c>
      <c r="H17">
        <v>89.004999999999995</v>
      </c>
      <c r="I17">
        <v>1</v>
      </c>
      <c r="J17">
        <v>98.433999999999997</v>
      </c>
      <c r="K17">
        <v>1</v>
      </c>
      <c r="L17">
        <v>160.83699999999999</v>
      </c>
      <c r="M17">
        <v>3</v>
      </c>
      <c r="N17">
        <v>14.641999999999999</v>
      </c>
      <c r="O17">
        <v>2</v>
      </c>
      <c r="P17">
        <v>3</v>
      </c>
      <c r="Q17">
        <v>2</v>
      </c>
      <c r="R17">
        <v>2</v>
      </c>
      <c r="S17">
        <v>2</v>
      </c>
      <c r="T17" s="2">
        <v>4</v>
      </c>
      <c r="U17">
        <v>3</v>
      </c>
      <c r="V17">
        <v>3</v>
      </c>
      <c r="W17">
        <v>3</v>
      </c>
      <c r="X17">
        <v>2</v>
      </c>
      <c r="Y17">
        <v>2</v>
      </c>
      <c r="Z17">
        <v>4</v>
      </c>
      <c r="AA17">
        <v>3</v>
      </c>
      <c r="AB17">
        <v>4</v>
      </c>
      <c r="AC17" s="2">
        <v>3</v>
      </c>
      <c r="AD17">
        <v>3</v>
      </c>
      <c r="AE17">
        <v>3</v>
      </c>
    </row>
    <row r="18" spans="1:31" x14ac:dyDescent="0.25">
      <c r="A18" t="s">
        <v>14</v>
      </c>
      <c r="B18" t="s">
        <v>85</v>
      </c>
      <c r="C18">
        <v>1</v>
      </c>
      <c r="D18">
        <v>85.554000000000002</v>
      </c>
      <c r="E18">
        <v>1</v>
      </c>
      <c r="F18">
        <v>58.564999999999998</v>
      </c>
      <c r="G18">
        <v>1</v>
      </c>
      <c r="H18">
        <v>127.502</v>
      </c>
      <c r="I18">
        <v>0</v>
      </c>
      <c r="J18">
        <v>147.46199999999999</v>
      </c>
      <c r="K18">
        <v>1</v>
      </c>
      <c r="L18">
        <v>52.104999999999997</v>
      </c>
      <c r="M18">
        <v>2</v>
      </c>
      <c r="N18">
        <v>16.119</v>
      </c>
      <c r="O18">
        <v>5</v>
      </c>
      <c r="P18">
        <v>3</v>
      </c>
      <c r="Q18">
        <v>4</v>
      </c>
      <c r="R18">
        <v>5</v>
      </c>
      <c r="S18">
        <v>4</v>
      </c>
      <c r="T18" s="2">
        <v>4</v>
      </c>
      <c r="U18">
        <v>3</v>
      </c>
      <c r="V18">
        <v>4</v>
      </c>
      <c r="W18">
        <v>5</v>
      </c>
      <c r="X18">
        <v>1</v>
      </c>
      <c r="Y18">
        <v>4</v>
      </c>
      <c r="Z18">
        <v>3</v>
      </c>
      <c r="AA18">
        <v>2</v>
      </c>
      <c r="AB18">
        <v>3</v>
      </c>
      <c r="AC18" s="2">
        <v>3</v>
      </c>
      <c r="AD18">
        <v>4</v>
      </c>
      <c r="AE18">
        <v>3</v>
      </c>
    </row>
    <row r="19" spans="1:31" x14ac:dyDescent="0.25">
      <c r="A19" t="s">
        <v>14</v>
      </c>
      <c r="B19" t="s">
        <v>86</v>
      </c>
      <c r="C19">
        <v>1</v>
      </c>
      <c r="D19">
        <v>157.357</v>
      </c>
      <c r="E19">
        <v>1</v>
      </c>
      <c r="F19">
        <v>56.606000000000002</v>
      </c>
      <c r="G19">
        <v>1</v>
      </c>
      <c r="H19">
        <v>66.492999999999995</v>
      </c>
      <c r="I19">
        <v>0</v>
      </c>
      <c r="J19">
        <v>236.785</v>
      </c>
      <c r="K19">
        <v>1</v>
      </c>
      <c r="L19">
        <v>84.519000000000005</v>
      </c>
      <c r="M19">
        <v>3</v>
      </c>
      <c r="N19">
        <v>16.091000000000001</v>
      </c>
      <c r="O19">
        <v>4</v>
      </c>
      <c r="P19">
        <v>5</v>
      </c>
      <c r="Q19">
        <v>3</v>
      </c>
      <c r="R19">
        <v>4</v>
      </c>
      <c r="S19">
        <v>4</v>
      </c>
      <c r="T19" s="2">
        <v>4</v>
      </c>
      <c r="U19">
        <v>4</v>
      </c>
      <c r="V19">
        <v>5</v>
      </c>
      <c r="W19">
        <v>3</v>
      </c>
      <c r="X19">
        <v>3</v>
      </c>
      <c r="Y19">
        <v>5</v>
      </c>
      <c r="Z19">
        <v>3</v>
      </c>
      <c r="AA19">
        <v>2</v>
      </c>
      <c r="AB19">
        <v>2</v>
      </c>
      <c r="AC19" s="2">
        <v>3</v>
      </c>
      <c r="AD19">
        <v>3</v>
      </c>
      <c r="AE19">
        <v>1</v>
      </c>
    </row>
    <row r="20" spans="1:31" x14ac:dyDescent="0.25">
      <c r="A20" t="s">
        <v>14</v>
      </c>
      <c r="B20" t="s">
        <v>87</v>
      </c>
      <c r="C20">
        <v>1</v>
      </c>
      <c r="D20">
        <v>116.151</v>
      </c>
      <c r="E20">
        <v>1</v>
      </c>
      <c r="F20">
        <v>41.640999999999998</v>
      </c>
      <c r="G20">
        <v>1</v>
      </c>
      <c r="H20">
        <v>74.632999999999996</v>
      </c>
      <c r="I20">
        <v>0</v>
      </c>
      <c r="J20">
        <v>71.388999999999996</v>
      </c>
      <c r="K20">
        <v>1</v>
      </c>
      <c r="L20">
        <v>163.21899999999999</v>
      </c>
      <c r="M20">
        <v>4</v>
      </c>
      <c r="N20">
        <v>7.3079999999999998</v>
      </c>
      <c r="O20">
        <v>2</v>
      </c>
      <c r="P20">
        <v>3</v>
      </c>
      <c r="Q20">
        <v>2</v>
      </c>
      <c r="R20">
        <v>2</v>
      </c>
      <c r="S20">
        <v>2</v>
      </c>
      <c r="T20" s="2">
        <v>4</v>
      </c>
      <c r="U20">
        <v>3</v>
      </c>
      <c r="V20">
        <v>5</v>
      </c>
      <c r="W20">
        <v>4</v>
      </c>
      <c r="X20">
        <v>3</v>
      </c>
      <c r="Y20">
        <v>3</v>
      </c>
      <c r="Z20">
        <v>3</v>
      </c>
      <c r="AA20">
        <v>2</v>
      </c>
      <c r="AB20">
        <v>3</v>
      </c>
      <c r="AC20" s="2">
        <v>3</v>
      </c>
      <c r="AD20">
        <v>3</v>
      </c>
      <c r="AE20">
        <v>2</v>
      </c>
    </row>
    <row r="21" spans="1:31" x14ac:dyDescent="0.25">
      <c r="A21" t="s">
        <v>14</v>
      </c>
      <c r="B21" t="s">
        <v>88</v>
      </c>
      <c r="C21">
        <v>1</v>
      </c>
      <c r="D21">
        <v>107.196</v>
      </c>
      <c r="E21">
        <v>1</v>
      </c>
      <c r="F21">
        <v>84.206000000000003</v>
      </c>
      <c r="G21">
        <v>1</v>
      </c>
      <c r="H21">
        <v>39.411999999999999</v>
      </c>
      <c r="I21">
        <v>0</v>
      </c>
      <c r="J21">
        <v>108.005</v>
      </c>
      <c r="K21">
        <v>1</v>
      </c>
      <c r="L21">
        <v>62.273000000000003</v>
      </c>
      <c r="M21">
        <v>2</v>
      </c>
      <c r="N21">
        <v>5.8550000000000004</v>
      </c>
      <c r="O21">
        <v>2</v>
      </c>
      <c r="P21">
        <v>2</v>
      </c>
      <c r="Q21">
        <v>2</v>
      </c>
      <c r="R21">
        <v>1</v>
      </c>
      <c r="S21">
        <v>1</v>
      </c>
      <c r="T21" s="2">
        <v>4</v>
      </c>
      <c r="U21">
        <v>2</v>
      </c>
      <c r="V21">
        <v>4</v>
      </c>
      <c r="W21">
        <v>3</v>
      </c>
      <c r="X21">
        <v>1</v>
      </c>
      <c r="Y21">
        <v>1</v>
      </c>
      <c r="Z21">
        <v>1</v>
      </c>
      <c r="AA21">
        <v>5</v>
      </c>
      <c r="AB21">
        <v>4</v>
      </c>
      <c r="AC21" s="2">
        <v>3</v>
      </c>
      <c r="AD21">
        <v>2</v>
      </c>
      <c r="AE21">
        <v>1</v>
      </c>
    </row>
    <row r="22" spans="1:31" x14ac:dyDescent="0.25">
      <c r="A22" t="s">
        <v>14</v>
      </c>
      <c r="B22" t="s">
        <v>89</v>
      </c>
      <c r="C22">
        <v>1</v>
      </c>
      <c r="D22">
        <v>86.39</v>
      </c>
      <c r="E22">
        <v>1</v>
      </c>
      <c r="F22">
        <v>78.137</v>
      </c>
      <c r="G22">
        <v>1</v>
      </c>
      <c r="H22">
        <v>95.962999999999994</v>
      </c>
      <c r="I22">
        <v>1</v>
      </c>
      <c r="J22">
        <v>106.303</v>
      </c>
      <c r="K22">
        <v>1</v>
      </c>
      <c r="L22">
        <v>185.02699999999999</v>
      </c>
      <c r="M22">
        <v>4</v>
      </c>
      <c r="N22">
        <v>7.4189999999999996</v>
      </c>
      <c r="O22">
        <v>5</v>
      </c>
      <c r="P22">
        <v>5</v>
      </c>
      <c r="Q22">
        <v>5</v>
      </c>
      <c r="R22">
        <v>5</v>
      </c>
      <c r="S22">
        <v>5</v>
      </c>
      <c r="T22" s="2">
        <v>4</v>
      </c>
      <c r="U22">
        <v>5</v>
      </c>
      <c r="V22">
        <v>5</v>
      </c>
      <c r="W22">
        <v>5</v>
      </c>
      <c r="X22">
        <v>5</v>
      </c>
      <c r="Y22">
        <v>5</v>
      </c>
      <c r="Z22">
        <v>4</v>
      </c>
      <c r="AA22">
        <v>4</v>
      </c>
      <c r="AB22">
        <v>4</v>
      </c>
      <c r="AC22" s="2">
        <v>3</v>
      </c>
      <c r="AD22">
        <v>4</v>
      </c>
      <c r="AE22">
        <v>2</v>
      </c>
    </row>
    <row r="23" spans="1:31" x14ac:dyDescent="0.25">
      <c r="A23" t="s">
        <v>14</v>
      </c>
      <c r="B23" t="s">
        <v>90</v>
      </c>
      <c r="C23">
        <v>1</v>
      </c>
      <c r="D23">
        <v>83.945999999999998</v>
      </c>
      <c r="E23">
        <v>1</v>
      </c>
      <c r="F23">
        <v>154.82599999999999</v>
      </c>
      <c r="G23">
        <v>1</v>
      </c>
      <c r="H23">
        <v>108.244</v>
      </c>
      <c r="I23">
        <v>1</v>
      </c>
      <c r="J23">
        <v>240.131</v>
      </c>
      <c r="K23">
        <v>0</v>
      </c>
      <c r="L23">
        <v>143.767</v>
      </c>
      <c r="M23">
        <v>3</v>
      </c>
      <c r="N23">
        <v>11.686999999999999</v>
      </c>
      <c r="O23">
        <v>2</v>
      </c>
      <c r="P23">
        <v>4</v>
      </c>
      <c r="Q23">
        <v>2</v>
      </c>
      <c r="R23">
        <v>2</v>
      </c>
      <c r="S23">
        <v>3</v>
      </c>
      <c r="T23" s="2">
        <v>4</v>
      </c>
      <c r="U23">
        <v>3</v>
      </c>
      <c r="V23">
        <v>5</v>
      </c>
      <c r="W23">
        <v>2</v>
      </c>
      <c r="X23">
        <v>1</v>
      </c>
      <c r="Y23">
        <v>2</v>
      </c>
      <c r="Z23">
        <v>5</v>
      </c>
      <c r="AA23">
        <v>3</v>
      </c>
      <c r="AB23">
        <v>4</v>
      </c>
      <c r="AC23" s="2">
        <v>3</v>
      </c>
      <c r="AD23">
        <v>3</v>
      </c>
      <c r="AE23">
        <v>5</v>
      </c>
    </row>
    <row r="24" spans="1:31" x14ac:dyDescent="0.25">
      <c r="A24" t="s">
        <v>14</v>
      </c>
      <c r="B24" t="s">
        <v>91</v>
      </c>
      <c r="C24">
        <v>0</v>
      </c>
      <c r="D24">
        <v>103.456</v>
      </c>
      <c r="E24">
        <v>0</v>
      </c>
      <c r="F24">
        <v>139.82</v>
      </c>
      <c r="G24">
        <v>0</v>
      </c>
      <c r="H24">
        <v>75.402000000000001</v>
      </c>
      <c r="I24">
        <v>1</v>
      </c>
      <c r="J24">
        <v>136.886</v>
      </c>
      <c r="K24">
        <v>1</v>
      </c>
      <c r="L24">
        <v>158.21600000000001</v>
      </c>
      <c r="M24">
        <v>3</v>
      </c>
      <c r="N24">
        <v>15.914999999999999</v>
      </c>
      <c r="O24">
        <v>4</v>
      </c>
      <c r="P24">
        <v>2</v>
      </c>
      <c r="Q24">
        <v>3</v>
      </c>
      <c r="R24">
        <v>5</v>
      </c>
      <c r="S24">
        <v>4</v>
      </c>
      <c r="T24" s="2">
        <v>4</v>
      </c>
      <c r="U24">
        <v>3</v>
      </c>
      <c r="V24">
        <v>4</v>
      </c>
      <c r="W24">
        <v>3</v>
      </c>
      <c r="X24">
        <v>4</v>
      </c>
      <c r="Y24">
        <v>3</v>
      </c>
      <c r="Z24">
        <v>3</v>
      </c>
      <c r="AA24">
        <v>2</v>
      </c>
      <c r="AB24">
        <v>3</v>
      </c>
      <c r="AC24" s="2">
        <v>3</v>
      </c>
      <c r="AD24">
        <v>4</v>
      </c>
      <c r="AE24">
        <v>3</v>
      </c>
    </row>
    <row r="25" spans="1:31" x14ac:dyDescent="0.25">
      <c r="A25" t="s">
        <v>14</v>
      </c>
      <c r="B25" t="s">
        <v>92</v>
      </c>
      <c r="C25">
        <v>1</v>
      </c>
      <c r="D25">
        <v>124.928</v>
      </c>
      <c r="E25">
        <v>1</v>
      </c>
      <c r="F25">
        <v>57.024000000000001</v>
      </c>
      <c r="G25">
        <v>0</v>
      </c>
      <c r="H25">
        <v>38.5</v>
      </c>
      <c r="I25">
        <v>0</v>
      </c>
      <c r="J25">
        <v>215.28100000000001</v>
      </c>
      <c r="K25">
        <v>1</v>
      </c>
      <c r="L25">
        <v>119.602</v>
      </c>
      <c r="M25">
        <v>2</v>
      </c>
      <c r="N25">
        <v>16.201000000000001</v>
      </c>
      <c r="O25">
        <v>2</v>
      </c>
      <c r="P25">
        <v>1</v>
      </c>
      <c r="Q25">
        <v>1</v>
      </c>
      <c r="R25">
        <v>2</v>
      </c>
      <c r="S25">
        <v>2</v>
      </c>
      <c r="T25" s="2">
        <v>4</v>
      </c>
      <c r="U25">
        <v>4</v>
      </c>
      <c r="V25">
        <v>1</v>
      </c>
      <c r="W25">
        <v>3</v>
      </c>
      <c r="X25">
        <v>1</v>
      </c>
      <c r="Y25">
        <v>1</v>
      </c>
      <c r="Z25">
        <v>3</v>
      </c>
      <c r="AA25">
        <v>4</v>
      </c>
      <c r="AB25">
        <v>4</v>
      </c>
      <c r="AC25" s="2">
        <v>3</v>
      </c>
      <c r="AD25">
        <v>2</v>
      </c>
      <c r="AE25">
        <v>4</v>
      </c>
    </row>
    <row r="26" spans="1:31" x14ac:dyDescent="0.25">
      <c r="A26" t="s">
        <v>14</v>
      </c>
      <c r="B26" t="s">
        <v>93</v>
      </c>
      <c r="C26">
        <v>0</v>
      </c>
      <c r="D26">
        <v>67.957999999999998</v>
      </c>
      <c r="E26">
        <v>1</v>
      </c>
      <c r="F26">
        <v>122.438</v>
      </c>
      <c r="G26">
        <v>0</v>
      </c>
      <c r="H26">
        <v>131.16499999999999</v>
      </c>
      <c r="I26">
        <v>0</v>
      </c>
      <c r="J26">
        <v>282.33999999999997</v>
      </c>
      <c r="K26">
        <v>1</v>
      </c>
      <c r="L26">
        <v>182.18899999999999</v>
      </c>
      <c r="M26">
        <v>4</v>
      </c>
      <c r="N26">
        <v>14.79</v>
      </c>
      <c r="O26">
        <v>4</v>
      </c>
      <c r="P26">
        <v>4</v>
      </c>
      <c r="Q26">
        <v>4</v>
      </c>
      <c r="R26">
        <v>5</v>
      </c>
      <c r="S26">
        <v>4</v>
      </c>
      <c r="T26" s="2">
        <v>4</v>
      </c>
      <c r="U26">
        <v>3</v>
      </c>
      <c r="V26">
        <v>5</v>
      </c>
      <c r="W26">
        <v>3</v>
      </c>
      <c r="X26">
        <v>5</v>
      </c>
      <c r="Y26">
        <v>4</v>
      </c>
      <c r="Z26">
        <v>3</v>
      </c>
      <c r="AA26">
        <v>2</v>
      </c>
      <c r="AB26">
        <v>5</v>
      </c>
      <c r="AC26" s="2">
        <v>3</v>
      </c>
      <c r="AD26">
        <v>4</v>
      </c>
      <c r="AE26">
        <v>2</v>
      </c>
    </row>
    <row r="27" spans="1:31" x14ac:dyDescent="0.25">
      <c r="A27" t="s">
        <v>14</v>
      </c>
      <c r="B27" t="s">
        <v>94</v>
      </c>
      <c r="C27">
        <v>1</v>
      </c>
      <c r="D27">
        <v>63.113</v>
      </c>
      <c r="E27">
        <v>1</v>
      </c>
      <c r="F27">
        <v>39.427</v>
      </c>
      <c r="G27">
        <v>1</v>
      </c>
      <c r="H27">
        <v>125.629</v>
      </c>
      <c r="I27">
        <v>1</v>
      </c>
      <c r="J27">
        <v>208.31299999999999</v>
      </c>
      <c r="K27">
        <v>0</v>
      </c>
      <c r="L27">
        <v>199.86500000000001</v>
      </c>
      <c r="M27">
        <v>2</v>
      </c>
      <c r="N27">
        <v>8.4350000000000005</v>
      </c>
      <c r="O27">
        <v>2</v>
      </c>
      <c r="P27">
        <v>2</v>
      </c>
      <c r="Q27">
        <v>1</v>
      </c>
      <c r="R27">
        <v>2</v>
      </c>
      <c r="S27">
        <v>2</v>
      </c>
      <c r="T27" s="2">
        <v>4</v>
      </c>
      <c r="U27">
        <v>3</v>
      </c>
      <c r="V27">
        <v>5</v>
      </c>
      <c r="W27">
        <v>3</v>
      </c>
      <c r="X27">
        <v>1</v>
      </c>
      <c r="Y27">
        <v>1</v>
      </c>
      <c r="Z27">
        <v>5</v>
      </c>
      <c r="AA27">
        <v>3</v>
      </c>
      <c r="AB27">
        <v>2</v>
      </c>
      <c r="AC27" s="2">
        <v>3</v>
      </c>
      <c r="AD27">
        <v>3</v>
      </c>
      <c r="AE27">
        <v>5</v>
      </c>
    </row>
    <row r="28" spans="1:31" x14ac:dyDescent="0.25">
      <c r="A28" t="s">
        <v>14</v>
      </c>
      <c r="B28" t="s">
        <v>95</v>
      </c>
      <c r="C28">
        <v>1</v>
      </c>
      <c r="D28">
        <v>75.813999999999993</v>
      </c>
      <c r="E28">
        <v>1</v>
      </c>
      <c r="F28">
        <v>56.878</v>
      </c>
      <c r="G28">
        <v>0</v>
      </c>
      <c r="H28">
        <v>156.83000000000001</v>
      </c>
      <c r="I28">
        <v>0</v>
      </c>
      <c r="J28">
        <v>289.19799999999998</v>
      </c>
      <c r="K28">
        <v>0</v>
      </c>
      <c r="L28">
        <v>120.73399999999999</v>
      </c>
      <c r="M28">
        <v>4</v>
      </c>
      <c r="N28">
        <v>5.9720000000000004</v>
      </c>
      <c r="O28">
        <v>5</v>
      </c>
      <c r="P28">
        <v>5</v>
      </c>
      <c r="Q28">
        <v>4</v>
      </c>
      <c r="R28">
        <v>5</v>
      </c>
      <c r="S28">
        <v>4</v>
      </c>
      <c r="T28" s="2">
        <v>4</v>
      </c>
      <c r="U28">
        <v>4</v>
      </c>
      <c r="V28">
        <v>5</v>
      </c>
      <c r="W28">
        <v>5</v>
      </c>
      <c r="X28">
        <v>4</v>
      </c>
      <c r="Y28">
        <v>4</v>
      </c>
      <c r="Z28">
        <v>4</v>
      </c>
      <c r="AA28">
        <v>4</v>
      </c>
      <c r="AB28">
        <v>4</v>
      </c>
      <c r="AC28" s="2">
        <v>3</v>
      </c>
      <c r="AD28">
        <v>4</v>
      </c>
      <c r="AE28">
        <v>4</v>
      </c>
    </row>
    <row r="29" spans="1:31" x14ac:dyDescent="0.25">
      <c r="A29" t="s">
        <v>14</v>
      </c>
      <c r="B29" t="s">
        <v>96</v>
      </c>
      <c r="C29">
        <v>0</v>
      </c>
      <c r="D29">
        <v>159.35400000000001</v>
      </c>
      <c r="E29">
        <v>1</v>
      </c>
      <c r="F29">
        <v>87.123000000000005</v>
      </c>
      <c r="G29">
        <v>1</v>
      </c>
      <c r="H29">
        <v>54.45</v>
      </c>
      <c r="I29">
        <v>1</v>
      </c>
      <c r="J29">
        <v>113.592</v>
      </c>
      <c r="K29">
        <v>1</v>
      </c>
      <c r="L29">
        <v>155.77799999999999</v>
      </c>
      <c r="M29">
        <v>4</v>
      </c>
      <c r="N29">
        <v>6.1040000000000001</v>
      </c>
      <c r="O29">
        <v>4</v>
      </c>
      <c r="P29">
        <v>4</v>
      </c>
      <c r="Q29">
        <v>4</v>
      </c>
      <c r="R29">
        <v>4</v>
      </c>
      <c r="S29">
        <v>4</v>
      </c>
      <c r="T29" s="2">
        <v>4</v>
      </c>
      <c r="U29">
        <v>5</v>
      </c>
      <c r="V29">
        <v>5</v>
      </c>
      <c r="W29">
        <v>4</v>
      </c>
      <c r="X29">
        <v>3</v>
      </c>
      <c r="Y29">
        <v>5</v>
      </c>
      <c r="Z29">
        <v>4</v>
      </c>
      <c r="AA29">
        <v>3</v>
      </c>
      <c r="AB29">
        <v>4</v>
      </c>
      <c r="AC29" s="2">
        <v>3</v>
      </c>
      <c r="AD29">
        <v>3</v>
      </c>
      <c r="AE29">
        <v>2</v>
      </c>
    </row>
    <row r="30" spans="1:31" x14ac:dyDescent="0.25">
      <c r="A30" t="s">
        <v>14</v>
      </c>
      <c r="B30" t="s">
        <v>97</v>
      </c>
      <c r="C30">
        <v>1</v>
      </c>
      <c r="D30">
        <v>53.277999999999999</v>
      </c>
      <c r="E30">
        <v>1</v>
      </c>
      <c r="F30">
        <v>154.43100000000001</v>
      </c>
      <c r="G30">
        <v>1</v>
      </c>
      <c r="H30">
        <v>64.328999999999994</v>
      </c>
      <c r="I30">
        <v>1</v>
      </c>
      <c r="J30">
        <v>134.70500000000001</v>
      </c>
      <c r="K30">
        <v>1</v>
      </c>
      <c r="L30">
        <v>231.76900000000001</v>
      </c>
      <c r="M30">
        <v>3</v>
      </c>
      <c r="N30">
        <v>4.782</v>
      </c>
      <c r="O30">
        <v>5</v>
      </c>
      <c r="P30">
        <v>3</v>
      </c>
      <c r="Q30">
        <v>4</v>
      </c>
      <c r="R30">
        <v>5</v>
      </c>
      <c r="S30">
        <v>4</v>
      </c>
      <c r="T30" s="2">
        <v>4</v>
      </c>
      <c r="U30">
        <v>3</v>
      </c>
      <c r="V30">
        <v>4</v>
      </c>
      <c r="W30">
        <v>5</v>
      </c>
      <c r="X30">
        <v>1</v>
      </c>
      <c r="Y30">
        <v>4</v>
      </c>
      <c r="Z30">
        <v>3</v>
      </c>
      <c r="AA30">
        <v>2</v>
      </c>
      <c r="AB30">
        <v>3</v>
      </c>
      <c r="AC30" s="2">
        <v>3</v>
      </c>
      <c r="AD30">
        <v>4</v>
      </c>
      <c r="AE30">
        <v>3</v>
      </c>
    </row>
    <row r="31" spans="1:31" x14ac:dyDescent="0.25">
      <c r="A31" t="s">
        <v>14</v>
      </c>
      <c r="B31" t="s">
        <v>98</v>
      </c>
      <c r="C31">
        <v>1</v>
      </c>
      <c r="D31">
        <v>141.672</v>
      </c>
      <c r="E31">
        <v>1</v>
      </c>
      <c r="F31">
        <v>57.296999999999997</v>
      </c>
      <c r="G31">
        <v>1</v>
      </c>
      <c r="H31">
        <v>26.632999999999999</v>
      </c>
      <c r="I31">
        <v>1</v>
      </c>
      <c r="J31">
        <v>268.33600000000001</v>
      </c>
      <c r="K31">
        <v>0</v>
      </c>
      <c r="L31">
        <v>120.563</v>
      </c>
      <c r="M31">
        <v>3</v>
      </c>
      <c r="N31">
        <v>16.474</v>
      </c>
      <c r="O31">
        <v>4</v>
      </c>
      <c r="P31">
        <v>5</v>
      </c>
      <c r="Q31">
        <v>3</v>
      </c>
      <c r="R31">
        <v>4</v>
      </c>
      <c r="S31">
        <v>4</v>
      </c>
      <c r="T31" s="2">
        <v>4</v>
      </c>
      <c r="U31">
        <v>4</v>
      </c>
      <c r="V31">
        <v>5</v>
      </c>
      <c r="W31">
        <v>3</v>
      </c>
      <c r="X31">
        <v>3</v>
      </c>
      <c r="Y31">
        <v>5</v>
      </c>
      <c r="Z31">
        <v>3</v>
      </c>
      <c r="AA31">
        <v>2</v>
      </c>
      <c r="AB31">
        <v>2</v>
      </c>
      <c r="AC31" s="2">
        <v>3</v>
      </c>
      <c r="AD31">
        <v>3</v>
      </c>
      <c r="AE31">
        <v>1</v>
      </c>
    </row>
    <row r="32" spans="1:31" x14ac:dyDescent="0.25">
      <c r="A32" t="s">
        <v>14</v>
      </c>
      <c r="B32" t="s">
        <v>99</v>
      </c>
      <c r="C32">
        <v>1</v>
      </c>
      <c r="D32">
        <v>140.745</v>
      </c>
      <c r="E32">
        <v>0</v>
      </c>
      <c r="F32">
        <v>150.947</v>
      </c>
      <c r="G32">
        <v>1</v>
      </c>
      <c r="H32">
        <v>65.465000000000003</v>
      </c>
      <c r="I32">
        <v>1</v>
      </c>
      <c r="J32">
        <v>343.935</v>
      </c>
      <c r="K32">
        <v>0</v>
      </c>
      <c r="L32">
        <v>230.429</v>
      </c>
      <c r="M32">
        <v>3</v>
      </c>
      <c r="N32">
        <v>9.5250000000000004</v>
      </c>
      <c r="O32">
        <v>2</v>
      </c>
      <c r="P32">
        <v>3</v>
      </c>
      <c r="Q32">
        <v>2</v>
      </c>
      <c r="R32">
        <v>2</v>
      </c>
      <c r="S32">
        <v>2</v>
      </c>
      <c r="T32" s="2">
        <v>4</v>
      </c>
      <c r="U32">
        <v>3</v>
      </c>
      <c r="V32">
        <v>5</v>
      </c>
      <c r="W32">
        <v>4</v>
      </c>
      <c r="X32">
        <v>3</v>
      </c>
      <c r="Y32">
        <v>3</v>
      </c>
      <c r="Z32">
        <v>3</v>
      </c>
      <c r="AA32">
        <v>2</v>
      </c>
      <c r="AB32">
        <v>3</v>
      </c>
      <c r="AC32" s="2">
        <v>3</v>
      </c>
      <c r="AD32">
        <v>3</v>
      </c>
      <c r="AE32">
        <v>2</v>
      </c>
    </row>
    <row r="33" spans="1:31" x14ac:dyDescent="0.25">
      <c r="A33" t="s">
        <v>14</v>
      </c>
      <c r="B33" t="s">
        <v>100</v>
      </c>
      <c r="C33">
        <v>1</v>
      </c>
      <c r="D33">
        <v>67.286000000000001</v>
      </c>
      <c r="E33">
        <v>1</v>
      </c>
      <c r="F33">
        <v>78.647999999999996</v>
      </c>
      <c r="G33">
        <v>1</v>
      </c>
      <c r="H33">
        <v>31.573</v>
      </c>
      <c r="I33">
        <v>1</v>
      </c>
      <c r="J33">
        <v>207.77600000000001</v>
      </c>
      <c r="K33">
        <v>1</v>
      </c>
      <c r="L33">
        <v>149.548</v>
      </c>
      <c r="M33">
        <v>4</v>
      </c>
      <c r="N33">
        <v>11.176</v>
      </c>
      <c r="O33">
        <v>2</v>
      </c>
      <c r="P33">
        <v>2</v>
      </c>
      <c r="Q33">
        <v>2</v>
      </c>
      <c r="R33">
        <v>1</v>
      </c>
      <c r="S33">
        <v>1</v>
      </c>
      <c r="T33" s="2">
        <v>4</v>
      </c>
      <c r="U33">
        <v>2</v>
      </c>
      <c r="V33">
        <v>4</v>
      </c>
      <c r="W33">
        <v>3</v>
      </c>
      <c r="X33">
        <v>1</v>
      </c>
      <c r="Y33">
        <v>1</v>
      </c>
      <c r="Z33">
        <v>1</v>
      </c>
      <c r="AA33">
        <v>5</v>
      </c>
      <c r="AB33">
        <v>4</v>
      </c>
      <c r="AC33" s="2">
        <v>3</v>
      </c>
      <c r="AD33">
        <v>2</v>
      </c>
      <c r="AE33">
        <v>1</v>
      </c>
    </row>
    <row r="34" spans="1:31" x14ac:dyDescent="0.25">
      <c r="A34" t="s">
        <v>14</v>
      </c>
      <c r="B34" t="s">
        <v>101</v>
      </c>
      <c r="C34">
        <v>1</v>
      </c>
      <c r="D34">
        <v>136.059</v>
      </c>
      <c r="E34">
        <v>1</v>
      </c>
      <c r="F34">
        <v>157.261</v>
      </c>
      <c r="G34">
        <v>1</v>
      </c>
      <c r="H34">
        <v>174.46</v>
      </c>
      <c r="I34">
        <v>1</v>
      </c>
      <c r="J34">
        <v>198.56899999999999</v>
      </c>
      <c r="K34">
        <v>1</v>
      </c>
      <c r="L34">
        <v>141.37700000000001</v>
      </c>
      <c r="M34">
        <v>3</v>
      </c>
      <c r="N34">
        <v>8.298</v>
      </c>
      <c r="O34">
        <v>5</v>
      </c>
      <c r="P34">
        <v>5</v>
      </c>
      <c r="Q34">
        <v>5</v>
      </c>
      <c r="R34">
        <v>5</v>
      </c>
      <c r="S34">
        <v>5</v>
      </c>
      <c r="T34" s="2">
        <v>4</v>
      </c>
      <c r="U34">
        <v>5</v>
      </c>
      <c r="V34">
        <v>5</v>
      </c>
      <c r="W34">
        <v>5</v>
      </c>
      <c r="X34">
        <v>5</v>
      </c>
      <c r="Y34">
        <v>5</v>
      </c>
      <c r="Z34">
        <v>4</v>
      </c>
      <c r="AA34">
        <v>4</v>
      </c>
      <c r="AB34">
        <v>4</v>
      </c>
      <c r="AC34" s="2">
        <v>3</v>
      </c>
      <c r="AD34">
        <v>4</v>
      </c>
      <c r="AE34">
        <v>2</v>
      </c>
    </row>
    <row r="35" spans="1:31" x14ac:dyDescent="0.25">
      <c r="A35" t="s">
        <v>14</v>
      </c>
      <c r="B35" t="s">
        <v>102</v>
      </c>
      <c r="C35">
        <v>0</v>
      </c>
      <c r="D35">
        <v>110.498</v>
      </c>
      <c r="E35">
        <v>1</v>
      </c>
      <c r="F35">
        <v>90.212999999999994</v>
      </c>
      <c r="G35">
        <v>1</v>
      </c>
      <c r="H35">
        <v>88.552000000000007</v>
      </c>
      <c r="I35">
        <v>0</v>
      </c>
      <c r="J35">
        <v>213.64</v>
      </c>
      <c r="K35">
        <v>1</v>
      </c>
      <c r="L35">
        <v>191.77600000000001</v>
      </c>
      <c r="M35">
        <v>3</v>
      </c>
      <c r="N35">
        <v>5.3380000000000001</v>
      </c>
      <c r="O35">
        <v>2</v>
      </c>
      <c r="P35">
        <v>4</v>
      </c>
      <c r="Q35">
        <v>2</v>
      </c>
      <c r="R35">
        <v>2</v>
      </c>
      <c r="S35">
        <v>3</v>
      </c>
      <c r="T35" s="2">
        <v>4</v>
      </c>
      <c r="U35">
        <v>3</v>
      </c>
      <c r="V35">
        <v>5</v>
      </c>
      <c r="W35">
        <v>2</v>
      </c>
      <c r="X35">
        <v>1</v>
      </c>
      <c r="Y35">
        <v>2</v>
      </c>
      <c r="Z35">
        <v>5</v>
      </c>
      <c r="AA35">
        <v>3</v>
      </c>
      <c r="AB35">
        <v>4</v>
      </c>
      <c r="AC35" s="2">
        <v>3</v>
      </c>
      <c r="AD35">
        <v>3</v>
      </c>
      <c r="AE35">
        <v>5</v>
      </c>
    </row>
    <row r="36" spans="1:31" x14ac:dyDescent="0.25">
      <c r="A36" t="s">
        <v>14</v>
      </c>
      <c r="B36" t="s">
        <v>103</v>
      </c>
      <c r="C36">
        <v>1</v>
      </c>
      <c r="D36">
        <v>93.936999999999998</v>
      </c>
      <c r="E36">
        <v>1</v>
      </c>
      <c r="F36">
        <v>92.831999999999994</v>
      </c>
      <c r="G36">
        <v>1</v>
      </c>
      <c r="H36">
        <v>87.528999999999996</v>
      </c>
      <c r="I36">
        <v>0</v>
      </c>
      <c r="J36">
        <v>173.42500000000001</v>
      </c>
      <c r="K36">
        <v>1</v>
      </c>
      <c r="L36">
        <v>97.921000000000006</v>
      </c>
      <c r="M36">
        <v>2</v>
      </c>
      <c r="N36">
        <v>14.901</v>
      </c>
      <c r="O36">
        <v>4</v>
      </c>
      <c r="P36">
        <v>2</v>
      </c>
      <c r="Q36">
        <v>3</v>
      </c>
      <c r="R36">
        <v>5</v>
      </c>
      <c r="S36">
        <v>4</v>
      </c>
      <c r="T36" s="2">
        <v>4</v>
      </c>
      <c r="U36">
        <v>3</v>
      </c>
      <c r="V36">
        <v>4</v>
      </c>
      <c r="W36">
        <v>3</v>
      </c>
      <c r="X36">
        <v>4</v>
      </c>
      <c r="Y36">
        <v>3</v>
      </c>
      <c r="Z36">
        <v>3</v>
      </c>
      <c r="AA36">
        <v>2</v>
      </c>
      <c r="AB36">
        <v>3</v>
      </c>
      <c r="AC36" s="2">
        <v>3</v>
      </c>
      <c r="AD36">
        <v>4</v>
      </c>
      <c r="AE36">
        <v>3</v>
      </c>
    </row>
    <row r="37" spans="1:31" x14ac:dyDescent="0.25">
      <c r="A37" t="s">
        <v>14</v>
      </c>
      <c r="B37" t="s">
        <v>104</v>
      </c>
      <c r="C37">
        <v>1</v>
      </c>
      <c r="D37">
        <v>76.573999999999998</v>
      </c>
      <c r="E37">
        <v>1</v>
      </c>
      <c r="F37">
        <v>64.411000000000001</v>
      </c>
      <c r="G37">
        <v>0</v>
      </c>
      <c r="H37">
        <v>142.68600000000001</v>
      </c>
      <c r="I37">
        <v>1</v>
      </c>
      <c r="J37">
        <v>348.666</v>
      </c>
      <c r="K37">
        <v>1</v>
      </c>
      <c r="L37">
        <v>250.33799999999999</v>
      </c>
      <c r="M37">
        <v>4</v>
      </c>
      <c r="N37">
        <v>11.291</v>
      </c>
      <c r="O37">
        <v>2</v>
      </c>
      <c r="P37">
        <v>1</v>
      </c>
      <c r="Q37">
        <v>1</v>
      </c>
      <c r="R37">
        <v>2</v>
      </c>
      <c r="S37">
        <v>2</v>
      </c>
      <c r="T37" s="2">
        <v>4</v>
      </c>
      <c r="U37">
        <v>4</v>
      </c>
      <c r="V37">
        <v>1</v>
      </c>
      <c r="W37">
        <v>3</v>
      </c>
      <c r="X37">
        <v>1</v>
      </c>
      <c r="Y37">
        <v>1</v>
      </c>
      <c r="Z37">
        <v>3</v>
      </c>
      <c r="AA37">
        <v>4</v>
      </c>
      <c r="AB37">
        <v>4</v>
      </c>
      <c r="AC37" s="2">
        <v>3</v>
      </c>
      <c r="AD37">
        <v>2</v>
      </c>
      <c r="AE37">
        <v>4</v>
      </c>
    </row>
    <row r="38" spans="1:31" x14ac:dyDescent="0.25">
      <c r="A38" t="s">
        <v>14</v>
      </c>
      <c r="B38" t="s">
        <v>105</v>
      </c>
      <c r="C38">
        <v>1</v>
      </c>
      <c r="D38">
        <v>105.732</v>
      </c>
      <c r="E38">
        <v>1</v>
      </c>
      <c r="F38">
        <v>127.31699999999999</v>
      </c>
      <c r="G38">
        <v>0</v>
      </c>
      <c r="H38">
        <v>161.94800000000001</v>
      </c>
      <c r="I38">
        <v>1</v>
      </c>
      <c r="J38">
        <v>336.24400000000003</v>
      </c>
      <c r="K38">
        <v>0</v>
      </c>
      <c r="L38">
        <v>167.82400000000001</v>
      </c>
      <c r="M38">
        <v>3</v>
      </c>
      <c r="N38">
        <v>8.0559999999999992</v>
      </c>
      <c r="O38">
        <v>4</v>
      </c>
      <c r="P38">
        <v>4</v>
      </c>
      <c r="Q38">
        <v>4</v>
      </c>
      <c r="R38">
        <v>5</v>
      </c>
      <c r="S38">
        <v>4</v>
      </c>
      <c r="T38" s="2">
        <v>4</v>
      </c>
      <c r="U38">
        <v>3</v>
      </c>
      <c r="V38">
        <v>5</v>
      </c>
      <c r="W38">
        <v>3</v>
      </c>
      <c r="X38">
        <v>5</v>
      </c>
      <c r="Y38">
        <v>4</v>
      </c>
      <c r="Z38">
        <v>3</v>
      </c>
      <c r="AA38">
        <v>2</v>
      </c>
      <c r="AB38">
        <v>5</v>
      </c>
      <c r="AC38" s="2">
        <v>3</v>
      </c>
      <c r="AD38">
        <v>4</v>
      </c>
      <c r="AE38">
        <v>2</v>
      </c>
    </row>
    <row r="39" spans="1:31" x14ac:dyDescent="0.25">
      <c r="A39" t="s">
        <v>14</v>
      </c>
      <c r="B39" t="s">
        <v>106</v>
      </c>
      <c r="C39">
        <v>0</v>
      </c>
      <c r="D39">
        <v>42.713000000000001</v>
      </c>
      <c r="E39">
        <v>0</v>
      </c>
      <c r="F39">
        <v>156.029</v>
      </c>
      <c r="G39">
        <v>0</v>
      </c>
      <c r="H39">
        <v>86.894999999999996</v>
      </c>
      <c r="I39">
        <v>1</v>
      </c>
      <c r="J39">
        <v>281.22199999999998</v>
      </c>
      <c r="K39">
        <v>1</v>
      </c>
      <c r="L39">
        <v>121.807</v>
      </c>
      <c r="M39">
        <v>3</v>
      </c>
      <c r="N39">
        <v>16.427</v>
      </c>
      <c r="O39">
        <v>2</v>
      </c>
      <c r="P39">
        <v>2</v>
      </c>
      <c r="Q39">
        <v>1</v>
      </c>
      <c r="R39">
        <v>2</v>
      </c>
      <c r="S39">
        <v>2</v>
      </c>
      <c r="T39" s="2">
        <v>4</v>
      </c>
      <c r="U39">
        <v>3</v>
      </c>
      <c r="V39">
        <v>5</v>
      </c>
      <c r="W39">
        <v>3</v>
      </c>
      <c r="X39">
        <v>1</v>
      </c>
      <c r="Y39">
        <v>1</v>
      </c>
      <c r="Z39">
        <v>5</v>
      </c>
      <c r="AA39">
        <v>3</v>
      </c>
      <c r="AB39">
        <v>2</v>
      </c>
      <c r="AC39" s="2">
        <v>3</v>
      </c>
      <c r="AD39">
        <v>3</v>
      </c>
      <c r="AE39">
        <v>5</v>
      </c>
    </row>
    <row r="40" spans="1:31" x14ac:dyDescent="0.25">
      <c r="A40" t="s">
        <v>14</v>
      </c>
      <c r="B40" t="s">
        <v>107</v>
      </c>
      <c r="C40">
        <v>1</v>
      </c>
      <c r="D40">
        <v>79.798000000000002</v>
      </c>
      <c r="E40">
        <v>1</v>
      </c>
      <c r="F40">
        <v>82.825999999999993</v>
      </c>
      <c r="G40">
        <v>1</v>
      </c>
      <c r="H40">
        <v>26.715</v>
      </c>
      <c r="I40">
        <v>0</v>
      </c>
      <c r="J40">
        <v>86.122</v>
      </c>
      <c r="K40">
        <v>1</v>
      </c>
      <c r="L40">
        <v>123.78400000000001</v>
      </c>
      <c r="M40">
        <v>2</v>
      </c>
      <c r="N40">
        <v>5.7480000000000002</v>
      </c>
      <c r="O40">
        <v>5</v>
      </c>
      <c r="P40">
        <v>5</v>
      </c>
      <c r="Q40">
        <v>4</v>
      </c>
      <c r="R40">
        <v>5</v>
      </c>
      <c r="S40">
        <v>4</v>
      </c>
      <c r="T40" s="2">
        <v>4</v>
      </c>
      <c r="U40">
        <v>4</v>
      </c>
      <c r="V40">
        <v>5</v>
      </c>
      <c r="W40">
        <v>5</v>
      </c>
      <c r="X40">
        <v>4</v>
      </c>
      <c r="Y40">
        <v>4</v>
      </c>
      <c r="Z40">
        <v>4</v>
      </c>
      <c r="AA40">
        <v>4</v>
      </c>
      <c r="AB40">
        <v>4</v>
      </c>
      <c r="AC40" s="2">
        <v>3</v>
      </c>
      <c r="AD40">
        <v>4</v>
      </c>
      <c r="AE40">
        <v>4</v>
      </c>
    </row>
    <row r="41" spans="1:31" x14ac:dyDescent="0.25">
      <c r="A41" t="s">
        <v>14</v>
      </c>
      <c r="B41" t="s">
        <v>108</v>
      </c>
      <c r="C41">
        <v>0</v>
      </c>
      <c r="D41">
        <v>159.84700000000001</v>
      </c>
      <c r="E41">
        <v>1</v>
      </c>
      <c r="F41">
        <v>122.812</v>
      </c>
      <c r="G41">
        <v>0</v>
      </c>
      <c r="H41">
        <v>59.274000000000001</v>
      </c>
      <c r="I41">
        <v>0</v>
      </c>
      <c r="J41">
        <v>227.97499999999999</v>
      </c>
      <c r="K41">
        <v>0</v>
      </c>
      <c r="L41">
        <v>145.41499999999999</v>
      </c>
      <c r="M41">
        <v>4</v>
      </c>
      <c r="N41">
        <v>9.9359999999999999</v>
      </c>
      <c r="O41">
        <v>4</v>
      </c>
      <c r="P41">
        <v>4</v>
      </c>
      <c r="Q41">
        <v>4</v>
      </c>
      <c r="R41">
        <v>4</v>
      </c>
      <c r="S41">
        <v>4</v>
      </c>
      <c r="T41" s="2">
        <v>4</v>
      </c>
      <c r="U41">
        <v>5</v>
      </c>
      <c r="V41">
        <v>5</v>
      </c>
      <c r="W41">
        <v>4</v>
      </c>
      <c r="X41">
        <v>3</v>
      </c>
      <c r="Y41">
        <v>5</v>
      </c>
      <c r="Z41">
        <v>4</v>
      </c>
      <c r="AA41">
        <v>3</v>
      </c>
      <c r="AB41">
        <v>4</v>
      </c>
      <c r="AC41" s="2">
        <v>3</v>
      </c>
      <c r="AD41">
        <v>3</v>
      </c>
      <c r="AE41">
        <v>2</v>
      </c>
    </row>
    <row r="42" spans="1:31" x14ac:dyDescent="0.25">
      <c r="A42" t="s">
        <v>14</v>
      </c>
      <c r="B42" t="s">
        <v>109</v>
      </c>
      <c r="C42">
        <v>1</v>
      </c>
      <c r="D42">
        <v>111.5</v>
      </c>
      <c r="E42">
        <v>1</v>
      </c>
      <c r="F42">
        <v>119.264</v>
      </c>
      <c r="G42">
        <v>1</v>
      </c>
      <c r="H42">
        <v>123.66500000000001</v>
      </c>
      <c r="I42">
        <v>1</v>
      </c>
      <c r="J42">
        <v>219.745</v>
      </c>
      <c r="K42">
        <v>1</v>
      </c>
      <c r="L42">
        <v>115.884</v>
      </c>
      <c r="M42">
        <v>2</v>
      </c>
      <c r="N42">
        <v>8.8629999999999995</v>
      </c>
      <c r="O42">
        <v>4</v>
      </c>
      <c r="P42">
        <v>3</v>
      </c>
      <c r="Q42">
        <v>4</v>
      </c>
      <c r="R42">
        <v>3</v>
      </c>
      <c r="S42">
        <v>3</v>
      </c>
      <c r="T42" s="2">
        <v>4</v>
      </c>
      <c r="U42">
        <v>3</v>
      </c>
      <c r="V42">
        <v>4</v>
      </c>
      <c r="W42">
        <v>3</v>
      </c>
      <c r="X42">
        <v>4</v>
      </c>
      <c r="Y42">
        <v>4</v>
      </c>
      <c r="Z42">
        <v>3</v>
      </c>
      <c r="AA42">
        <v>3</v>
      </c>
      <c r="AB42">
        <v>3</v>
      </c>
      <c r="AC42" s="2">
        <v>3</v>
      </c>
      <c r="AD42">
        <v>3</v>
      </c>
      <c r="AE42">
        <v>3</v>
      </c>
    </row>
    <row r="43" spans="1:31" x14ac:dyDescent="0.25">
      <c r="A43" t="s">
        <v>14</v>
      </c>
      <c r="B43" t="s">
        <v>110</v>
      </c>
      <c r="C43">
        <v>1</v>
      </c>
      <c r="D43">
        <v>104.49299999999999</v>
      </c>
      <c r="E43">
        <v>1</v>
      </c>
      <c r="F43">
        <v>124.441</v>
      </c>
      <c r="G43">
        <v>0</v>
      </c>
      <c r="H43">
        <v>174.983</v>
      </c>
      <c r="I43">
        <v>0</v>
      </c>
      <c r="J43">
        <v>374.77300000000002</v>
      </c>
      <c r="K43">
        <v>1</v>
      </c>
      <c r="L43">
        <v>229.083</v>
      </c>
      <c r="M43">
        <v>4</v>
      </c>
      <c r="N43">
        <v>13.311</v>
      </c>
      <c r="O43">
        <v>3</v>
      </c>
      <c r="P43">
        <v>2</v>
      </c>
      <c r="Q43">
        <v>2</v>
      </c>
      <c r="R43">
        <v>2</v>
      </c>
      <c r="S43">
        <v>2</v>
      </c>
      <c r="T43" s="2">
        <v>4</v>
      </c>
      <c r="U43">
        <v>3</v>
      </c>
      <c r="V43">
        <v>4</v>
      </c>
      <c r="W43">
        <v>2</v>
      </c>
      <c r="X43">
        <v>2</v>
      </c>
      <c r="Y43">
        <v>2</v>
      </c>
      <c r="Z43">
        <v>3</v>
      </c>
      <c r="AA43">
        <v>3</v>
      </c>
      <c r="AB43">
        <v>4</v>
      </c>
      <c r="AC43" s="2">
        <v>3</v>
      </c>
      <c r="AD43">
        <v>3</v>
      </c>
      <c r="AE43">
        <v>3</v>
      </c>
    </row>
    <row r="44" spans="1:31" x14ac:dyDescent="0.25">
      <c r="A44" t="s">
        <v>14</v>
      </c>
      <c r="B44" t="s">
        <v>111</v>
      </c>
      <c r="C44">
        <v>0</v>
      </c>
      <c r="D44">
        <v>73.602999999999994</v>
      </c>
      <c r="E44">
        <v>1</v>
      </c>
      <c r="F44">
        <v>62.085000000000001</v>
      </c>
      <c r="G44">
        <v>1</v>
      </c>
      <c r="H44">
        <v>163.488</v>
      </c>
      <c r="I44">
        <v>1</v>
      </c>
      <c r="J44">
        <v>373.92700000000002</v>
      </c>
      <c r="K44">
        <v>1</v>
      </c>
      <c r="L44">
        <v>80.326999999999998</v>
      </c>
      <c r="M44">
        <v>4</v>
      </c>
      <c r="N44">
        <v>4.1349999999999998</v>
      </c>
      <c r="O44">
        <v>2</v>
      </c>
      <c r="P44">
        <v>3</v>
      </c>
      <c r="Q44">
        <v>2</v>
      </c>
      <c r="R44">
        <v>2</v>
      </c>
      <c r="S44">
        <v>2</v>
      </c>
      <c r="T44" s="2">
        <v>4</v>
      </c>
      <c r="U44">
        <v>3</v>
      </c>
      <c r="V44">
        <v>3</v>
      </c>
      <c r="W44">
        <v>3</v>
      </c>
      <c r="X44">
        <v>2</v>
      </c>
      <c r="Y44">
        <v>2</v>
      </c>
      <c r="Z44">
        <v>4</v>
      </c>
      <c r="AA44">
        <v>3</v>
      </c>
      <c r="AB44">
        <v>4</v>
      </c>
      <c r="AC44" s="2">
        <v>3</v>
      </c>
      <c r="AD44">
        <v>3</v>
      </c>
      <c r="AE44">
        <v>3</v>
      </c>
    </row>
    <row r="45" spans="1:31" x14ac:dyDescent="0.25">
      <c r="A45" t="s">
        <v>14</v>
      </c>
      <c r="B45" t="s">
        <v>112</v>
      </c>
      <c r="C45">
        <v>1</v>
      </c>
      <c r="D45">
        <v>166.262</v>
      </c>
      <c r="E45">
        <v>1</v>
      </c>
      <c r="F45">
        <v>119.128</v>
      </c>
      <c r="G45">
        <v>1</v>
      </c>
      <c r="H45">
        <v>105.041</v>
      </c>
      <c r="I45">
        <v>1</v>
      </c>
      <c r="J45">
        <v>185.32</v>
      </c>
      <c r="K45">
        <v>1</v>
      </c>
      <c r="L45">
        <v>153.73400000000001</v>
      </c>
      <c r="M45">
        <v>3</v>
      </c>
      <c r="N45">
        <v>13.445</v>
      </c>
      <c r="O45">
        <v>4</v>
      </c>
      <c r="P45">
        <v>3</v>
      </c>
      <c r="Q45">
        <v>4</v>
      </c>
      <c r="R45">
        <v>3</v>
      </c>
      <c r="S45">
        <v>3</v>
      </c>
      <c r="T45" s="2">
        <v>4</v>
      </c>
      <c r="U45">
        <v>3</v>
      </c>
      <c r="V45">
        <v>4</v>
      </c>
      <c r="W45">
        <v>3</v>
      </c>
      <c r="X45">
        <v>4</v>
      </c>
      <c r="Y45">
        <v>4</v>
      </c>
      <c r="Z45">
        <v>3</v>
      </c>
      <c r="AA45">
        <v>3</v>
      </c>
      <c r="AB45">
        <v>3</v>
      </c>
      <c r="AC45" s="2">
        <v>3</v>
      </c>
      <c r="AD45">
        <v>3</v>
      </c>
      <c r="AE45">
        <v>3</v>
      </c>
    </row>
    <row r="46" spans="1:31" x14ac:dyDescent="0.25">
      <c r="A46" t="s">
        <v>14</v>
      </c>
      <c r="B46" t="s">
        <v>113</v>
      </c>
      <c r="C46">
        <v>1</v>
      </c>
      <c r="D46">
        <v>97.266999999999996</v>
      </c>
      <c r="E46">
        <v>1</v>
      </c>
      <c r="F46">
        <v>46.406999999999996</v>
      </c>
      <c r="G46">
        <v>1</v>
      </c>
      <c r="H46">
        <v>64.129000000000005</v>
      </c>
      <c r="I46">
        <v>1</v>
      </c>
      <c r="J46">
        <v>150.821</v>
      </c>
      <c r="K46">
        <v>0</v>
      </c>
      <c r="L46">
        <v>124.429</v>
      </c>
      <c r="M46">
        <v>3</v>
      </c>
      <c r="N46">
        <v>15.335000000000001</v>
      </c>
      <c r="O46">
        <v>3</v>
      </c>
      <c r="P46">
        <v>2</v>
      </c>
      <c r="Q46">
        <v>2</v>
      </c>
      <c r="R46">
        <v>2</v>
      </c>
      <c r="S46">
        <v>2</v>
      </c>
      <c r="T46" s="2">
        <v>4</v>
      </c>
      <c r="U46">
        <v>3</v>
      </c>
      <c r="V46">
        <v>4</v>
      </c>
      <c r="W46">
        <v>2</v>
      </c>
      <c r="X46">
        <v>2</v>
      </c>
      <c r="Y46">
        <v>2</v>
      </c>
      <c r="Z46">
        <v>3</v>
      </c>
      <c r="AA46">
        <v>3</v>
      </c>
      <c r="AB46">
        <v>4</v>
      </c>
      <c r="AC46" s="2">
        <v>3</v>
      </c>
      <c r="AD46">
        <v>3</v>
      </c>
      <c r="AE46">
        <v>3</v>
      </c>
    </row>
    <row r="47" spans="1:31" x14ac:dyDescent="0.25">
      <c r="A47" t="s">
        <v>14</v>
      </c>
      <c r="B47" t="s">
        <v>114</v>
      </c>
      <c r="C47">
        <v>1</v>
      </c>
      <c r="D47">
        <v>69.495999999999995</v>
      </c>
      <c r="E47">
        <v>0</v>
      </c>
      <c r="F47">
        <v>62.408999999999999</v>
      </c>
      <c r="G47">
        <v>1</v>
      </c>
      <c r="H47">
        <v>176.524</v>
      </c>
      <c r="I47">
        <v>1</v>
      </c>
      <c r="J47">
        <v>124.753</v>
      </c>
      <c r="K47">
        <v>1</v>
      </c>
      <c r="L47">
        <v>124.55200000000001</v>
      </c>
      <c r="M47">
        <v>2</v>
      </c>
      <c r="N47">
        <v>10.959</v>
      </c>
      <c r="O47">
        <v>2</v>
      </c>
      <c r="P47">
        <v>3</v>
      </c>
      <c r="Q47">
        <v>2</v>
      </c>
      <c r="R47">
        <v>2</v>
      </c>
      <c r="S47">
        <v>2</v>
      </c>
      <c r="T47" s="2">
        <v>4</v>
      </c>
      <c r="U47">
        <v>3</v>
      </c>
      <c r="V47">
        <v>3</v>
      </c>
      <c r="W47">
        <v>3</v>
      </c>
      <c r="X47">
        <v>2</v>
      </c>
      <c r="Y47">
        <v>2</v>
      </c>
      <c r="Z47">
        <v>4</v>
      </c>
      <c r="AA47">
        <v>3</v>
      </c>
      <c r="AB47">
        <v>4</v>
      </c>
      <c r="AC47" s="2">
        <v>3</v>
      </c>
      <c r="AD47">
        <v>3</v>
      </c>
      <c r="AE47">
        <v>3</v>
      </c>
    </row>
    <row r="48" spans="1:31" x14ac:dyDescent="0.25">
      <c r="A48" t="s">
        <v>14</v>
      </c>
      <c r="B48" t="s">
        <v>114</v>
      </c>
      <c r="C48">
        <v>0</v>
      </c>
      <c r="D48">
        <v>131.614</v>
      </c>
      <c r="E48">
        <v>0</v>
      </c>
      <c r="F48">
        <v>68.304000000000002</v>
      </c>
      <c r="G48">
        <v>1</v>
      </c>
      <c r="H48">
        <v>41.634999999999998</v>
      </c>
      <c r="I48">
        <v>1</v>
      </c>
      <c r="J48">
        <v>38.590000000000003</v>
      </c>
      <c r="K48">
        <v>1</v>
      </c>
      <c r="L48">
        <v>190.59399999999999</v>
      </c>
      <c r="M48">
        <v>3</v>
      </c>
      <c r="N48">
        <v>7.71</v>
      </c>
      <c r="O48">
        <v>5</v>
      </c>
      <c r="P48">
        <v>5</v>
      </c>
      <c r="Q48">
        <v>4</v>
      </c>
      <c r="R48">
        <v>5</v>
      </c>
      <c r="S48">
        <v>4</v>
      </c>
      <c r="T48" s="2">
        <v>4</v>
      </c>
      <c r="U48">
        <v>4</v>
      </c>
      <c r="V48">
        <v>5</v>
      </c>
      <c r="W48">
        <v>5</v>
      </c>
      <c r="X48">
        <v>4</v>
      </c>
      <c r="Y48">
        <v>4</v>
      </c>
      <c r="Z48">
        <v>4</v>
      </c>
      <c r="AA48">
        <v>4</v>
      </c>
      <c r="AB48">
        <v>4</v>
      </c>
      <c r="AC48" s="2">
        <v>3</v>
      </c>
      <c r="AD48">
        <v>4</v>
      </c>
      <c r="AE48">
        <v>4</v>
      </c>
    </row>
    <row r="49" spans="1:31" x14ac:dyDescent="0.25">
      <c r="A49" t="s">
        <v>14</v>
      </c>
      <c r="B49" t="s">
        <v>143</v>
      </c>
      <c r="C49">
        <v>0</v>
      </c>
      <c r="D49">
        <v>81.147999999999996</v>
      </c>
      <c r="E49">
        <v>1</v>
      </c>
      <c r="F49">
        <v>72.501000000000005</v>
      </c>
      <c r="G49">
        <v>1</v>
      </c>
      <c r="H49">
        <v>77.549000000000007</v>
      </c>
      <c r="I49">
        <v>1</v>
      </c>
      <c r="J49">
        <v>48.99</v>
      </c>
      <c r="K49">
        <v>1</v>
      </c>
      <c r="L49">
        <v>102.777</v>
      </c>
      <c r="M49">
        <v>3</v>
      </c>
      <c r="N49">
        <v>18.170000000000002</v>
      </c>
      <c r="O49">
        <v>2</v>
      </c>
      <c r="P49">
        <v>1</v>
      </c>
      <c r="Q49">
        <v>1</v>
      </c>
      <c r="R49">
        <v>2</v>
      </c>
      <c r="S49">
        <v>2</v>
      </c>
      <c r="T49" s="2">
        <v>4</v>
      </c>
      <c r="U49">
        <v>4</v>
      </c>
      <c r="V49">
        <v>1</v>
      </c>
      <c r="W49">
        <v>3</v>
      </c>
      <c r="X49">
        <v>1</v>
      </c>
      <c r="Y49">
        <v>1</v>
      </c>
      <c r="Z49">
        <v>3</v>
      </c>
      <c r="AA49">
        <v>4</v>
      </c>
      <c r="AB49">
        <v>4</v>
      </c>
      <c r="AC49" s="2">
        <v>3</v>
      </c>
      <c r="AD49">
        <v>2</v>
      </c>
      <c r="AE49">
        <v>4</v>
      </c>
    </row>
    <row r="50" spans="1:31" x14ac:dyDescent="0.25">
      <c r="A50" t="s">
        <v>15</v>
      </c>
      <c r="B50" t="s">
        <v>25</v>
      </c>
      <c r="C50">
        <v>0</v>
      </c>
      <c r="D50">
        <v>46.017000000000003</v>
      </c>
      <c r="E50">
        <v>1</v>
      </c>
      <c r="F50">
        <v>45.048999999999999</v>
      </c>
      <c r="G50">
        <v>1</v>
      </c>
      <c r="H50">
        <v>114.949</v>
      </c>
      <c r="I50">
        <v>1</v>
      </c>
      <c r="J50">
        <v>96.974000000000004</v>
      </c>
      <c r="K50">
        <v>1</v>
      </c>
      <c r="L50">
        <v>92.786000000000001</v>
      </c>
      <c r="M50">
        <v>1</v>
      </c>
      <c r="N50">
        <v>5.0019999999999998</v>
      </c>
      <c r="O50">
        <v>3</v>
      </c>
      <c r="P50">
        <v>3</v>
      </c>
      <c r="Q50">
        <v>3</v>
      </c>
      <c r="R50">
        <v>3</v>
      </c>
      <c r="S50">
        <v>3</v>
      </c>
      <c r="T50" s="2">
        <v>4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 s="2">
        <v>3</v>
      </c>
      <c r="AD50">
        <v>3</v>
      </c>
      <c r="AE50">
        <v>3</v>
      </c>
    </row>
    <row r="51" spans="1:31" x14ac:dyDescent="0.25">
      <c r="A51" t="s">
        <v>15</v>
      </c>
      <c r="B51" t="s">
        <v>26</v>
      </c>
      <c r="C51">
        <v>0</v>
      </c>
      <c r="D51">
        <v>45.521999999999998</v>
      </c>
      <c r="E51">
        <v>1</v>
      </c>
      <c r="F51">
        <v>46.883000000000003</v>
      </c>
      <c r="G51">
        <v>1</v>
      </c>
      <c r="H51">
        <v>91.709000000000003</v>
      </c>
      <c r="I51">
        <v>1</v>
      </c>
      <c r="J51">
        <v>72.278000000000006</v>
      </c>
      <c r="K51">
        <v>0</v>
      </c>
      <c r="L51">
        <v>178.51</v>
      </c>
      <c r="M51">
        <v>4</v>
      </c>
      <c r="N51">
        <v>3.5659999999999998</v>
      </c>
      <c r="O51">
        <v>5</v>
      </c>
      <c r="P51">
        <v>5</v>
      </c>
      <c r="Q51">
        <v>3</v>
      </c>
      <c r="R51">
        <v>4</v>
      </c>
      <c r="S51">
        <v>4</v>
      </c>
      <c r="T51" s="2">
        <v>4</v>
      </c>
      <c r="U51">
        <v>3</v>
      </c>
      <c r="V51">
        <v>5</v>
      </c>
      <c r="W51">
        <v>4</v>
      </c>
      <c r="X51">
        <v>5</v>
      </c>
      <c r="Y51">
        <v>5</v>
      </c>
      <c r="Z51">
        <v>4</v>
      </c>
      <c r="AA51">
        <v>3</v>
      </c>
      <c r="AB51">
        <v>5</v>
      </c>
      <c r="AC51" s="2">
        <v>3</v>
      </c>
      <c r="AD51">
        <v>3</v>
      </c>
      <c r="AE51">
        <v>4</v>
      </c>
    </row>
    <row r="52" spans="1:31" x14ac:dyDescent="0.25">
      <c r="A52" t="s">
        <v>15</v>
      </c>
      <c r="B52" t="s">
        <v>27</v>
      </c>
      <c r="C52">
        <v>1</v>
      </c>
      <c r="D52">
        <v>34.613999999999997</v>
      </c>
      <c r="E52">
        <v>1</v>
      </c>
      <c r="F52">
        <v>28.097999999999999</v>
      </c>
      <c r="G52">
        <v>1</v>
      </c>
      <c r="H52">
        <v>14.519</v>
      </c>
      <c r="I52">
        <v>1</v>
      </c>
      <c r="J52">
        <v>10.347</v>
      </c>
      <c r="K52">
        <v>1</v>
      </c>
      <c r="L52" s="1">
        <v>11.461</v>
      </c>
      <c r="M52">
        <v>4</v>
      </c>
      <c r="N52">
        <v>7.34</v>
      </c>
      <c r="O52">
        <v>4</v>
      </c>
      <c r="P52">
        <v>5</v>
      </c>
      <c r="Q52">
        <v>3</v>
      </c>
      <c r="R52">
        <v>5</v>
      </c>
      <c r="S52">
        <v>5</v>
      </c>
      <c r="T52" s="2">
        <v>4</v>
      </c>
      <c r="U52">
        <v>5</v>
      </c>
      <c r="V52">
        <v>4</v>
      </c>
      <c r="W52">
        <v>5</v>
      </c>
      <c r="X52">
        <v>5</v>
      </c>
      <c r="Y52">
        <v>4</v>
      </c>
      <c r="Z52">
        <v>3</v>
      </c>
      <c r="AA52">
        <v>4</v>
      </c>
      <c r="AB52">
        <v>2</v>
      </c>
      <c r="AC52" s="2">
        <v>3</v>
      </c>
      <c r="AD52">
        <v>4</v>
      </c>
      <c r="AE52">
        <v>3</v>
      </c>
    </row>
    <row r="53" spans="1:31" x14ac:dyDescent="0.25">
      <c r="A53" t="s">
        <v>15</v>
      </c>
      <c r="B53" t="s">
        <v>28</v>
      </c>
      <c r="C53">
        <v>1</v>
      </c>
      <c r="D53" s="1">
        <v>51.973999999999997</v>
      </c>
      <c r="E53">
        <v>1</v>
      </c>
      <c r="F53">
        <v>51.765999999999998</v>
      </c>
      <c r="G53">
        <v>1</v>
      </c>
      <c r="H53">
        <v>22.783000000000001</v>
      </c>
      <c r="I53">
        <v>1</v>
      </c>
      <c r="J53">
        <v>59.790999999999997</v>
      </c>
      <c r="K53">
        <v>1</v>
      </c>
      <c r="L53">
        <v>72.155000000000001</v>
      </c>
      <c r="M53">
        <v>5</v>
      </c>
      <c r="N53">
        <v>4.8540000000000001</v>
      </c>
      <c r="O53">
        <v>5</v>
      </c>
      <c r="P53">
        <v>2</v>
      </c>
      <c r="Q53">
        <v>3</v>
      </c>
      <c r="R53">
        <v>5</v>
      </c>
      <c r="S53">
        <v>4</v>
      </c>
      <c r="T53" s="2">
        <v>4</v>
      </c>
      <c r="U53">
        <v>2</v>
      </c>
      <c r="V53">
        <v>5</v>
      </c>
      <c r="W53">
        <v>2</v>
      </c>
      <c r="X53">
        <v>3</v>
      </c>
      <c r="Y53">
        <v>4</v>
      </c>
      <c r="Z53">
        <v>3</v>
      </c>
      <c r="AA53">
        <v>1</v>
      </c>
      <c r="AB53">
        <v>2</v>
      </c>
      <c r="AC53" s="2">
        <v>3</v>
      </c>
      <c r="AD53">
        <v>5</v>
      </c>
      <c r="AE53">
        <v>2</v>
      </c>
    </row>
    <row r="54" spans="1:31" x14ac:dyDescent="0.25">
      <c r="A54" t="s">
        <v>15</v>
      </c>
      <c r="B54" t="s">
        <v>29</v>
      </c>
      <c r="C54">
        <v>1</v>
      </c>
      <c r="D54">
        <v>89.183999999999997</v>
      </c>
      <c r="E54">
        <v>1</v>
      </c>
      <c r="F54">
        <v>43.337000000000003</v>
      </c>
      <c r="G54">
        <v>1</v>
      </c>
      <c r="H54" s="1">
        <v>72.326999999999998</v>
      </c>
      <c r="I54">
        <v>0</v>
      </c>
      <c r="J54">
        <v>125.142</v>
      </c>
      <c r="K54">
        <v>1</v>
      </c>
      <c r="L54">
        <v>87.171000000000006</v>
      </c>
      <c r="M54">
        <v>4</v>
      </c>
      <c r="N54">
        <v>9.5259999999999998</v>
      </c>
      <c r="O54">
        <v>4</v>
      </c>
      <c r="P54">
        <v>4</v>
      </c>
      <c r="Q54">
        <v>3</v>
      </c>
      <c r="R54">
        <v>5</v>
      </c>
      <c r="S54">
        <v>4</v>
      </c>
      <c r="T54" s="2">
        <v>4</v>
      </c>
      <c r="U54">
        <v>4</v>
      </c>
      <c r="V54">
        <v>5</v>
      </c>
      <c r="W54">
        <v>5</v>
      </c>
      <c r="X54">
        <v>5</v>
      </c>
      <c r="Y54">
        <v>5</v>
      </c>
      <c r="Z54">
        <v>2</v>
      </c>
      <c r="AA54">
        <v>2</v>
      </c>
      <c r="AB54">
        <v>2</v>
      </c>
      <c r="AC54" s="2">
        <v>3</v>
      </c>
      <c r="AD54">
        <v>3</v>
      </c>
      <c r="AE54">
        <v>3</v>
      </c>
    </row>
    <row r="55" spans="1:31" x14ac:dyDescent="0.25">
      <c r="A55" t="s">
        <v>15</v>
      </c>
      <c r="B55" t="s">
        <v>30</v>
      </c>
      <c r="C55">
        <v>1</v>
      </c>
      <c r="D55">
        <v>85.302999999999997</v>
      </c>
      <c r="E55">
        <v>1</v>
      </c>
      <c r="F55">
        <v>57.293999999999997</v>
      </c>
      <c r="G55">
        <v>1</v>
      </c>
      <c r="H55">
        <v>52.26</v>
      </c>
      <c r="I55">
        <v>1</v>
      </c>
      <c r="J55">
        <v>42.944000000000003</v>
      </c>
      <c r="K55">
        <v>1</v>
      </c>
      <c r="L55">
        <v>78.051000000000002</v>
      </c>
      <c r="M55">
        <v>4</v>
      </c>
      <c r="N55">
        <v>4.1070000000000002</v>
      </c>
      <c r="O55">
        <v>2</v>
      </c>
      <c r="P55">
        <v>3</v>
      </c>
      <c r="Q55">
        <v>2</v>
      </c>
      <c r="R55">
        <v>3</v>
      </c>
      <c r="S55">
        <v>4</v>
      </c>
      <c r="T55" s="2">
        <v>4</v>
      </c>
      <c r="U55">
        <v>3</v>
      </c>
      <c r="V55">
        <v>4</v>
      </c>
      <c r="W55">
        <v>4</v>
      </c>
      <c r="X55">
        <v>2</v>
      </c>
      <c r="Y55">
        <v>3</v>
      </c>
      <c r="Z55">
        <v>4</v>
      </c>
      <c r="AA55">
        <v>4</v>
      </c>
      <c r="AB55">
        <v>3</v>
      </c>
      <c r="AC55" s="2">
        <v>3</v>
      </c>
      <c r="AD55">
        <v>4</v>
      </c>
      <c r="AE55">
        <v>2</v>
      </c>
    </row>
    <row r="56" spans="1:31" x14ac:dyDescent="0.25">
      <c r="A56" t="s">
        <v>15</v>
      </c>
      <c r="B56" t="s">
        <v>31</v>
      </c>
      <c r="C56">
        <v>0</v>
      </c>
      <c r="D56">
        <v>80.769000000000005</v>
      </c>
      <c r="E56">
        <v>1</v>
      </c>
      <c r="F56">
        <v>7.085</v>
      </c>
      <c r="G56">
        <v>1</v>
      </c>
      <c r="H56">
        <v>15.571999999999999</v>
      </c>
      <c r="I56">
        <v>1</v>
      </c>
      <c r="J56">
        <v>16.968</v>
      </c>
      <c r="K56">
        <v>1</v>
      </c>
      <c r="L56">
        <v>27.137</v>
      </c>
      <c r="M56">
        <v>4</v>
      </c>
      <c r="N56">
        <v>2.81</v>
      </c>
      <c r="O56">
        <v>3</v>
      </c>
      <c r="P56">
        <v>2</v>
      </c>
      <c r="Q56">
        <v>2</v>
      </c>
      <c r="R56">
        <v>3</v>
      </c>
      <c r="S56">
        <v>4</v>
      </c>
      <c r="T56" s="2">
        <v>4</v>
      </c>
      <c r="U56">
        <v>3</v>
      </c>
      <c r="V56">
        <v>4</v>
      </c>
      <c r="W56">
        <v>4</v>
      </c>
      <c r="X56">
        <v>4</v>
      </c>
      <c r="Y56">
        <v>4</v>
      </c>
      <c r="Z56">
        <v>4</v>
      </c>
      <c r="AA56">
        <v>3</v>
      </c>
      <c r="AB56">
        <v>3</v>
      </c>
      <c r="AC56" s="2">
        <v>3</v>
      </c>
      <c r="AD56">
        <v>3</v>
      </c>
      <c r="AE56">
        <v>3</v>
      </c>
    </row>
    <row r="57" spans="1:31" x14ac:dyDescent="0.25">
      <c r="A57" t="s">
        <v>15</v>
      </c>
      <c r="B57" t="s">
        <v>32</v>
      </c>
      <c r="C57">
        <v>1</v>
      </c>
      <c r="D57">
        <v>106.41</v>
      </c>
      <c r="E57">
        <v>1</v>
      </c>
      <c r="F57">
        <v>50.844000000000001</v>
      </c>
      <c r="G57">
        <v>1</v>
      </c>
      <c r="H57">
        <v>62.262999999999998</v>
      </c>
      <c r="I57">
        <v>1</v>
      </c>
      <c r="J57">
        <v>92.965000000000003</v>
      </c>
      <c r="K57">
        <v>0</v>
      </c>
      <c r="L57">
        <v>103.861</v>
      </c>
      <c r="M57">
        <v>3</v>
      </c>
      <c r="N57">
        <v>6.0780000000000003</v>
      </c>
      <c r="O57">
        <v>5</v>
      </c>
      <c r="P57">
        <v>5</v>
      </c>
      <c r="Q57">
        <v>4</v>
      </c>
      <c r="R57">
        <v>5</v>
      </c>
      <c r="S57">
        <v>4</v>
      </c>
      <c r="T57" s="2">
        <v>4</v>
      </c>
      <c r="U57">
        <v>5</v>
      </c>
      <c r="V57">
        <v>5</v>
      </c>
      <c r="W57">
        <v>4</v>
      </c>
      <c r="X57">
        <v>5</v>
      </c>
      <c r="Y57">
        <v>5</v>
      </c>
      <c r="Z57">
        <v>5</v>
      </c>
      <c r="AA57">
        <v>3</v>
      </c>
      <c r="AB57">
        <v>5</v>
      </c>
      <c r="AC57" s="2">
        <v>3</v>
      </c>
      <c r="AD57">
        <v>4</v>
      </c>
      <c r="AE57">
        <v>3</v>
      </c>
    </row>
    <row r="58" spans="1:31" x14ac:dyDescent="0.25">
      <c r="A58" t="s">
        <v>15</v>
      </c>
      <c r="B58" t="s">
        <v>33</v>
      </c>
      <c r="C58">
        <v>0</v>
      </c>
      <c r="D58">
        <v>63.091999999999999</v>
      </c>
      <c r="E58">
        <v>1</v>
      </c>
      <c r="F58">
        <v>49.222000000000001</v>
      </c>
      <c r="G58">
        <v>1</v>
      </c>
      <c r="H58">
        <v>59.665999999999997</v>
      </c>
      <c r="I58">
        <v>1</v>
      </c>
      <c r="J58">
        <v>71.662000000000006</v>
      </c>
      <c r="K58">
        <v>1</v>
      </c>
      <c r="L58">
        <v>82.927999999999997</v>
      </c>
      <c r="M58">
        <v>3</v>
      </c>
      <c r="N58">
        <v>4.4240000000000004</v>
      </c>
      <c r="O58">
        <v>5</v>
      </c>
      <c r="P58">
        <v>5</v>
      </c>
      <c r="Q58">
        <v>4</v>
      </c>
      <c r="R58">
        <v>4</v>
      </c>
      <c r="S58">
        <v>3</v>
      </c>
      <c r="T58" s="2">
        <v>4</v>
      </c>
      <c r="U58">
        <v>5</v>
      </c>
      <c r="V58">
        <v>5</v>
      </c>
      <c r="W58">
        <v>3</v>
      </c>
      <c r="X58">
        <v>4</v>
      </c>
      <c r="Y58">
        <v>4</v>
      </c>
      <c r="Z58">
        <v>4</v>
      </c>
      <c r="AA58">
        <v>3</v>
      </c>
      <c r="AB58">
        <v>5</v>
      </c>
      <c r="AC58" s="2">
        <v>3</v>
      </c>
      <c r="AD58">
        <v>2</v>
      </c>
      <c r="AE58">
        <v>4</v>
      </c>
    </row>
    <row r="59" spans="1:31" x14ac:dyDescent="0.25">
      <c r="A59" t="s">
        <v>15</v>
      </c>
      <c r="B59" t="s">
        <v>34</v>
      </c>
      <c r="C59">
        <v>1</v>
      </c>
      <c r="D59">
        <v>79.454999999999998</v>
      </c>
      <c r="E59">
        <v>1</v>
      </c>
      <c r="F59">
        <v>93.072999999999993</v>
      </c>
      <c r="G59">
        <v>1</v>
      </c>
      <c r="H59">
        <v>20.882999999999999</v>
      </c>
      <c r="I59">
        <v>0</v>
      </c>
      <c r="J59">
        <v>96.570999999999998</v>
      </c>
      <c r="K59">
        <v>1</v>
      </c>
      <c r="L59">
        <v>114.31</v>
      </c>
      <c r="M59">
        <v>3</v>
      </c>
      <c r="N59">
        <v>12.198</v>
      </c>
      <c r="O59">
        <v>4</v>
      </c>
      <c r="P59">
        <v>5</v>
      </c>
      <c r="Q59">
        <v>4</v>
      </c>
      <c r="R59">
        <v>4</v>
      </c>
      <c r="S59">
        <v>5</v>
      </c>
      <c r="T59" s="2">
        <v>4</v>
      </c>
      <c r="U59">
        <v>4</v>
      </c>
      <c r="V59">
        <v>5</v>
      </c>
      <c r="W59">
        <v>4</v>
      </c>
      <c r="X59">
        <v>4</v>
      </c>
      <c r="Y59">
        <v>4</v>
      </c>
      <c r="Z59">
        <v>3</v>
      </c>
      <c r="AA59">
        <v>1</v>
      </c>
      <c r="AB59">
        <v>2</v>
      </c>
      <c r="AC59" s="2">
        <v>3</v>
      </c>
      <c r="AD59">
        <v>4</v>
      </c>
      <c r="AE59">
        <v>1</v>
      </c>
    </row>
    <row r="60" spans="1:31" x14ac:dyDescent="0.25">
      <c r="A60" t="s">
        <v>15</v>
      </c>
      <c r="B60" t="s">
        <v>35</v>
      </c>
      <c r="C60">
        <v>1</v>
      </c>
      <c r="D60">
        <v>65.515000000000001</v>
      </c>
      <c r="E60">
        <v>1</v>
      </c>
      <c r="F60">
        <v>47.151000000000003</v>
      </c>
      <c r="G60">
        <v>1</v>
      </c>
      <c r="H60">
        <v>100.11199999999999</v>
      </c>
      <c r="I60">
        <v>0</v>
      </c>
      <c r="J60" s="1">
        <v>105.705</v>
      </c>
      <c r="K60">
        <v>1</v>
      </c>
      <c r="L60" s="1">
        <v>96.926000000000002</v>
      </c>
      <c r="M60">
        <v>4</v>
      </c>
      <c r="N60" s="1">
        <v>8.3680000000000003</v>
      </c>
      <c r="O60">
        <v>3</v>
      </c>
      <c r="P60">
        <v>4</v>
      </c>
      <c r="Q60">
        <v>1</v>
      </c>
      <c r="R60">
        <v>3</v>
      </c>
      <c r="S60">
        <v>4</v>
      </c>
      <c r="T60" s="2">
        <v>4</v>
      </c>
      <c r="U60">
        <v>4</v>
      </c>
      <c r="V60">
        <v>5</v>
      </c>
      <c r="W60">
        <v>4</v>
      </c>
      <c r="X60">
        <v>4</v>
      </c>
      <c r="Y60">
        <v>5</v>
      </c>
      <c r="Z60">
        <v>3</v>
      </c>
      <c r="AA60">
        <v>1</v>
      </c>
      <c r="AB60">
        <v>2</v>
      </c>
      <c r="AC60" s="2">
        <v>3</v>
      </c>
      <c r="AD60">
        <v>5</v>
      </c>
      <c r="AE60">
        <v>1</v>
      </c>
    </row>
    <row r="61" spans="1:31" x14ac:dyDescent="0.25">
      <c r="A61" t="s">
        <v>15</v>
      </c>
      <c r="B61" t="s">
        <v>36</v>
      </c>
      <c r="C61">
        <v>1</v>
      </c>
      <c r="D61">
        <v>79.019000000000005</v>
      </c>
      <c r="E61">
        <v>1</v>
      </c>
      <c r="F61">
        <v>67.674999999999997</v>
      </c>
      <c r="G61">
        <v>1</v>
      </c>
      <c r="H61">
        <v>130.02099999999999</v>
      </c>
      <c r="I61">
        <v>1</v>
      </c>
      <c r="J61">
        <v>117.93300000000001</v>
      </c>
      <c r="K61">
        <v>1</v>
      </c>
      <c r="L61">
        <v>80.632999999999996</v>
      </c>
      <c r="M61">
        <v>3</v>
      </c>
      <c r="N61">
        <v>7.8070000000000004</v>
      </c>
      <c r="O61">
        <v>4</v>
      </c>
      <c r="P61">
        <v>3</v>
      </c>
      <c r="Q61">
        <v>2</v>
      </c>
      <c r="R61">
        <v>5</v>
      </c>
      <c r="S61">
        <v>4</v>
      </c>
      <c r="T61" s="2">
        <v>4</v>
      </c>
      <c r="U61">
        <v>4</v>
      </c>
      <c r="V61">
        <v>5</v>
      </c>
      <c r="W61">
        <v>4</v>
      </c>
      <c r="X61">
        <v>4</v>
      </c>
      <c r="Y61">
        <v>5</v>
      </c>
      <c r="Z61">
        <v>5</v>
      </c>
      <c r="AA61">
        <v>4</v>
      </c>
      <c r="AB61">
        <v>4</v>
      </c>
      <c r="AC61" s="2">
        <v>3</v>
      </c>
      <c r="AD61">
        <v>4</v>
      </c>
      <c r="AE61">
        <v>3</v>
      </c>
    </row>
    <row r="62" spans="1:31" x14ac:dyDescent="0.25">
      <c r="A62" t="s">
        <v>15</v>
      </c>
      <c r="B62" t="s">
        <v>37</v>
      </c>
      <c r="C62">
        <v>1</v>
      </c>
      <c r="D62" s="1">
        <v>103.91800000000001</v>
      </c>
      <c r="E62">
        <v>1</v>
      </c>
      <c r="F62">
        <v>66.605000000000004</v>
      </c>
      <c r="G62">
        <v>1</v>
      </c>
      <c r="H62">
        <v>29.036999999999999</v>
      </c>
      <c r="I62">
        <v>1</v>
      </c>
      <c r="J62">
        <v>164.102</v>
      </c>
      <c r="K62">
        <v>1</v>
      </c>
      <c r="L62">
        <v>49.957000000000001</v>
      </c>
      <c r="M62">
        <v>4</v>
      </c>
      <c r="N62">
        <v>8.9049999999999994</v>
      </c>
      <c r="O62">
        <v>4</v>
      </c>
      <c r="P62">
        <v>3</v>
      </c>
      <c r="Q62">
        <v>2</v>
      </c>
      <c r="R62">
        <v>4</v>
      </c>
      <c r="S62">
        <v>4</v>
      </c>
      <c r="T62" s="2">
        <v>4</v>
      </c>
      <c r="U62">
        <v>4</v>
      </c>
      <c r="V62">
        <v>5</v>
      </c>
      <c r="W62">
        <v>3</v>
      </c>
      <c r="X62">
        <v>4</v>
      </c>
      <c r="Y62">
        <v>5</v>
      </c>
      <c r="Z62">
        <v>2</v>
      </c>
      <c r="AA62">
        <v>1</v>
      </c>
      <c r="AB62">
        <v>2</v>
      </c>
      <c r="AC62" s="2">
        <v>3</v>
      </c>
      <c r="AD62">
        <v>4</v>
      </c>
      <c r="AE62">
        <v>2</v>
      </c>
    </row>
    <row r="63" spans="1:31" x14ac:dyDescent="0.25">
      <c r="A63" t="s">
        <v>15</v>
      </c>
      <c r="B63" t="s">
        <v>38</v>
      </c>
      <c r="C63">
        <v>1</v>
      </c>
      <c r="D63">
        <v>38.597000000000001</v>
      </c>
      <c r="E63">
        <v>1</v>
      </c>
      <c r="F63">
        <v>67.477000000000004</v>
      </c>
      <c r="G63">
        <v>1</v>
      </c>
      <c r="H63">
        <v>96.893000000000001</v>
      </c>
      <c r="I63">
        <v>1</v>
      </c>
      <c r="J63" s="1">
        <v>83.712000000000003</v>
      </c>
      <c r="K63">
        <v>1</v>
      </c>
      <c r="L63">
        <v>119.28</v>
      </c>
      <c r="M63">
        <v>4</v>
      </c>
      <c r="N63">
        <v>8.8260000000000005</v>
      </c>
      <c r="O63">
        <v>3</v>
      </c>
      <c r="P63">
        <v>4</v>
      </c>
      <c r="Q63">
        <v>3</v>
      </c>
      <c r="R63">
        <v>3</v>
      </c>
      <c r="S63">
        <v>3</v>
      </c>
      <c r="T63" s="2">
        <v>4</v>
      </c>
      <c r="U63">
        <v>3</v>
      </c>
      <c r="V63">
        <v>4</v>
      </c>
      <c r="W63">
        <v>4</v>
      </c>
      <c r="X63">
        <v>3</v>
      </c>
      <c r="Y63">
        <v>4</v>
      </c>
      <c r="Z63">
        <v>3</v>
      </c>
      <c r="AA63">
        <v>2</v>
      </c>
      <c r="AB63">
        <v>4</v>
      </c>
      <c r="AC63" s="2">
        <v>3</v>
      </c>
      <c r="AD63">
        <v>3</v>
      </c>
      <c r="AE63">
        <v>3</v>
      </c>
    </row>
    <row r="64" spans="1:31" x14ac:dyDescent="0.25">
      <c r="A64" t="s">
        <v>15</v>
      </c>
      <c r="B64" t="s">
        <v>39</v>
      </c>
      <c r="C64">
        <v>1</v>
      </c>
      <c r="D64">
        <v>76.585999999999999</v>
      </c>
      <c r="E64">
        <v>1</v>
      </c>
      <c r="F64">
        <v>57.064999999999998</v>
      </c>
      <c r="G64">
        <v>1</v>
      </c>
      <c r="H64">
        <v>80.67</v>
      </c>
      <c r="I64">
        <v>1</v>
      </c>
      <c r="J64">
        <v>112.935</v>
      </c>
      <c r="K64">
        <v>0</v>
      </c>
      <c r="L64">
        <v>156.79900000000001</v>
      </c>
      <c r="M64">
        <v>4</v>
      </c>
      <c r="N64">
        <v>7.3369999999999997</v>
      </c>
      <c r="O64">
        <v>5</v>
      </c>
      <c r="P64">
        <v>4</v>
      </c>
      <c r="Q64">
        <v>4</v>
      </c>
      <c r="R64">
        <v>5</v>
      </c>
      <c r="S64">
        <v>4</v>
      </c>
      <c r="T64" s="2">
        <v>4</v>
      </c>
      <c r="U64">
        <v>4</v>
      </c>
      <c r="V64">
        <v>5</v>
      </c>
      <c r="W64">
        <v>3</v>
      </c>
      <c r="X64">
        <v>4</v>
      </c>
      <c r="Y64">
        <v>4</v>
      </c>
      <c r="Z64">
        <v>3</v>
      </c>
      <c r="AA64">
        <v>2</v>
      </c>
      <c r="AB64">
        <v>3</v>
      </c>
      <c r="AC64" s="2">
        <v>3</v>
      </c>
      <c r="AD64">
        <v>2</v>
      </c>
      <c r="AE64">
        <v>1</v>
      </c>
    </row>
    <row r="65" spans="1:31" x14ac:dyDescent="0.25">
      <c r="A65" t="s">
        <v>15</v>
      </c>
      <c r="B65" t="s">
        <v>40</v>
      </c>
      <c r="C65">
        <v>1</v>
      </c>
      <c r="D65">
        <v>80.573999999999998</v>
      </c>
      <c r="E65">
        <v>0</v>
      </c>
      <c r="F65">
        <v>56.191000000000003</v>
      </c>
      <c r="G65">
        <v>1</v>
      </c>
      <c r="H65">
        <v>40.582000000000001</v>
      </c>
      <c r="I65">
        <v>1</v>
      </c>
      <c r="J65">
        <v>72.572000000000003</v>
      </c>
      <c r="K65">
        <v>1</v>
      </c>
      <c r="L65">
        <v>90.087999999999994</v>
      </c>
      <c r="M65">
        <v>3</v>
      </c>
      <c r="N65">
        <v>9.0459999999999994</v>
      </c>
      <c r="O65">
        <v>4</v>
      </c>
      <c r="P65">
        <v>3</v>
      </c>
      <c r="Q65">
        <v>4</v>
      </c>
      <c r="R65">
        <v>4</v>
      </c>
      <c r="S65">
        <v>3</v>
      </c>
      <c r="T65" s="2">
        <v>4</v>
      </c>
      <c r="U65">
        <v>4</v>
      </c>
      <c r="V65">
        <v>4</v>
      </c>
      <c r="W65">
        <v>3</v>
      </c>
      <c r="X65">
        <v>3</v>
      </c>
      <c r="Y65">
        <v>4</v>
      </c>
      <c r="Z65">
        <v>3</v>
      </c>
      <c r="AA65">
        <v>3</v>
      </c>
      <c r="AB65">
        <v>4</v>
      </c>
      <c r="AC65" s="2">
        <v>3</v>
      </c>
      <c r="AD65">
        <v>3</v>
      </c>
      <c r="AE65">
        <v>3</v>
      </c>
    </row>
    <row r="66" spans="1:31" x14ac:dyDescent="0.25">
      <c r="A66" t="s">
        <v>15</v>
      </c>
      <c r="B66" t="s">
        <v>41</v>
      </c>
      <c r="C66">
        <v>1</v>
      </c>
      <c r="D66">
        <v>99.441999999999993</v>
      </c>
      <c r="E66">
        <v>1</v>
      </c>
      <c r="F66">
        <v>88.593000000000004</v>
      </c>
      <c r="G66">
        <v>1</v>
      </c>
      <c r="H66">
        <v>90.86</v>
      </c>
      <c r="I66">
        <v>1</v>
      </c>
      <c r="J66">
        <v>133.65799999999999</v>
      </c>
      <c r="K66">
        <v>1</v>
      </c>
      <c r="L66">
        <v>249.29</v>
      </c>
      <c r="M66">
        <v>4</v>
      </c>
      <c r="N66">
        <v>10.922000000000001</v>
      </c>
      <c r="O66">
        <v>5</v>
      </c>
      <c r="P66">
        <v>5</v>
      </c>
      <c r="Q66">
        <v>5</v>
      </c>
      <c r="R66">
        <v>5</v>
      </c>
      <c r="S66">
        <v>4</v>
      </c>
      <c r="T66" s="2">
        <v>4</v>
      </c>
      <c r="U66">
        <v>4</v>
      </c>
      <c r="V66">
        <v>5</v>
      </c>
      <c r="W66">
        <v>4</v>
      </c>
      <c r="X66">
        <v>4</v>
      </c>
      <c r="Y66">
        <v>4</v>
      </c>
      <c r="Z66">
        <v>3</v>
      </c>
      <c r="AA66">
        <v>3</v>
      </c>
      <c r="AB66">
        <v>4</v>
      </c>
      <c r="AC66" s="2">
        <v>3</v>
      </c>
      <c r="AD66">
        <v>4</v>
      </c>
      <c r="AE66">
        <v>2</v>
      </c>
    </row>
    <row r="67" spans="1:31" x14ac:dyDescent="0.25">
      <c r="A67" t="s">
        <v>15</v>
      </c>
      <c r="B67" t="s">
        <v>42</v>
      </c>
      <c r="C67">
        <v>1</v>
      </c>
      <c r="D67">
        <v>80.099999999999994</v>
      </c>
      <c r="E67">
        <v>1</v>
      </c>
      <c r="F67">
        <v>88.298000000000002</v>
      </c>
      <c r="G67">
        <v>1</v>
      </c>
      <c r="H67">
        <v>106.797</v>
      </c>
      <c r="I67">
        <v>1</v>
      </c>
      <c r="J67" s="1">
        <v>74.435000000000002</v>
      </c>
      <c r="K67">
        <v>1</v>
      </c>
      <c r="L67">
        <v>281.11</v>
      </c>
      <c r="M67">
        <v>4</v>
      </c>
      <c r="N67" s="1">
        <v>11.754</v>
      </c>
      <c r="O67">
        <v>4</v>
      </c>
      <c r="P67">
        <v>4</v>
      </c>
      <c r="Q67">
        <v>3</v>
      </c>
      <c r="R67">
        <v>4</v>
      </c>
      <c r="S67">
        <v>3</v>
      </c>
      <c r="T67" s="2">
        <v>4</v>
      </c>
      <c r="U67">
        <v>4</v>
      </c>
      <c r="V67">
        <v>4</v>
      </c>
      <c r="W67">
        <v>3</v>
      </c>
      <c r="X67">
        <v>4</v>
      </c>
      <c r="Y67">
        <v>4</v>
      </c>
      <c r="Z67">
        <v>3</v>
      </c>
      <c r="AA67">
        <v>3</v>
      </c>
      <c r="AB67">
        <v>3</v>
      </c>
      <c r="AC67" s="2">
        <v>3</v>
      </c>
      <c r="AD67">
        <v>4</v>
      </c>
      <c r="AE67">
        <v>4</v>
      </c>
    </row>
    <row r="68" spans="1:31" x14ac:dyDescent="0.25">
      <c r="A68" t="s">
        <v>15</v>
      </c>
      <c r="B68" t="s">
        <v>115</v>
      </c>
      <c r="C68">
        <v>0</v>
      </c>
      <c r="D68">
        <v>63.262</v>
      </c>
      <c r="E68">
        <v>1</v>
      </c>
      <c r="F68">
        <v>33.6</v>
      </c>
      <c r="G68">
        <v>1</v>
      </c>
      <c r="H68">
        <v>75.405000000000001</v>
      </c>
      <c r="I68">
        <v>1</v>
      </c>
      <c r="J68">
        <v>54.332000000000001</v>
      </c>
      <c r="K68">
        <v>1</v>
      </c>
      <c r="L68">
        <v>127.315</v>
      </c>
      <c r="M68">
        <v>4</v>
      </c>
      <c r="N68">
        <v>8.31</v>
      </c>
      <c r="O68">
        <v>3</v>
      </c>
      <c r="P68">
        <v>3</v>
      </c>
      <c r="Q68">
        <v>3</v>
      </c>
      <c r="R68">
        <v>3</v>
      </c>
      <c r="S68">
        <v>3</v>
      </c>
      <c r="T68" s="2">
        <v>4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 s="2">
        <v>3</v>
      </c>
      <c r="AD68">
        <v>3</v>
      </c>
      <c r="AE68">
        <v>3</v>
      </c>
    </row>
    <row r="69" spans="1:31" x14ac:dyDescent="0.25">
      <c r="A69" t="s">
        <v>15</v>
      </c>
      <c r="B69" t="s">
        <v>116</v>
      </c>
      <c r="C69">
        <v>0</v>
      </c>
      <c r="D69">
        <v>56.066000000000003</v>
      </c>
      <c r="E69">
        <v>1</v>
      </c>
      <c r="F69">
        <v>72.635999999999996</v>
      </c>
      <c r="G69">
        <v>1</v>
      </c>
      <c r="H69">
        <v>114.85299999999999</v>
      </c>
      <c r="I69">
        <v>1</v>
      </c>
      <c r="J69">
        <v>22.577000000000002</v>
      </c>
      <c r="K69">
        <v>0</v>
      </c>
      <c r="L69">
        <v>176.57400000000001</v>
      </c>
      <c r="M69">
        <v>4</v>
      </c>
      <c r="N69">
        <v>10.512</v>
      </c>
      <c r="O69">
        <v>5</v>
      </c>
      <c r="P69">
        <v>5</v>
      </c>
      <c r="Q69">
        <v>3</v>
      </c>
      <c r="R69">
        <v>4</v>
      </c>
      <c r="S69">
        <v>4</v>
      </c>
      <c r="T69" s="2">
        <v>4</v>
      </c>
      <c r="U69">
        <v>3</v>
      </c>
      <c r="V69">
        <v>5</v>
      </c>
      <c r="W69">
        <v>4</v>
      </c>
      <c r="X69">
        <v>5</v>
      </c>
      <c r="Y69">
        <v>5</v>
      </c>
      <c r="Z69">
        <v>4</v>
      </c>
      <c r="AA69">
        <v>3</v>
      </c>
      <c r="AB69">
        <v>5</v>
      </c>
      <c r="AC69" s="2">
        <v>3</v>
      </c>
      <c r="AD69">
        <v>3</v>
      </c>
      <c r="AE69">
        <v>4</v>
      </c>
    </row>
    <row r="70" spans="1:31" x14ac:dyDescent="0.25">
      <c r="A70" t="s">
        <v>15</v>
      </c>
      <c r="B70" t="s">
        <v>117</v>
      </c>
      <c r="C70">
        <v>1</v>
      </c>
      <c r="D70">
        <v>113.104</v>
      </c>
      <c r="E70">
        <v>1</v>
      </c>
      <c r="F70">
        <v>17.869</v>
      </c>
      <c r="G70">
        <v>1</v>
      </c>
      <c r="H70">
        <v>106.452</v>
      </c>
      <c r="I70">
        <v>1</v>
      </c>
      <c r="J70">
        <v>59.649000000000001</v>
      </c>
      <c r="K70">
        <v>1</v>
      </c>
      <c r="L70">
        <v>82.698999999999998</v>
      </c>
      <c r="M70">
        <v>4</v>
      </c>
      <c r="N70">
        <v>3.5110000000000001</v>
      </c>
      <c r="O70">
        <v>4</v>
      </c>
      <c r="P70">
        <v>5</v>
      </c>
      <c r="Q70">
        <v>3</v>
      </c>
      <c r="R70">
        <v>5</v>
      </c>
      <c r="S70">
        <v>5</v>
      </c>
      <c r="T70" s="2">
        <v>4</v>
      </c>
      <c r="U70">
        <v>5</v>
      </c>
      <c r="V70">
        <v>4</v>
      </c>
      <c r="W70">
        <v>5</v>
      </c>
      <c r="X70">
        <v>5</v>
      </c>
      <c r="Y70">
        <v>4</v>
      </c>
      <c r="Z70">
        <v>3</v>
      </c>
      <c r="AA70">
        <v>4</v>
      </c>
      <c r="AB70">
        <v>2</v>
      </c>
      <c r="AC70" s="2">
        <v>3</v>
      </c>
      <c r="AD70">
        <v>4</v>
      </c>
      <c r="AE70">
        <v>3</v>
      </c>
    </row>
    <row r="71" spans="1:31" x14ac:dyDescent="0.25">
      <c r="A71" t="s">
        <v>15</v>
      </c>
      <c r="B71" t="s">
        <v>118</v>
      </c>
      <c r="C71">
        <v>1</v>
      </c>
      <c r="D71">
        <v>59.036999999999999</v>
      </c>
      <c r="E71">
        <v>1</v>
      </c>
      <c r="F71">
        <v>72.619</v>
      </c>
      <c r="G71">
        <v>1</v>
      </c>
      <c r="H71">
        <v>16.43</v>
      </c>
      <c r="I71">
        <v>1</v>
      </c>
      <c r="J71">
        <v>51.893999999999998</v>
      </c>
      <c r="K71">
        <v>1</v>
      </c>
      <c r="L71">
        <v>165.07499999999999</v>
      </c>
      <c r="M71">
        <v>5</v>
      </c>
      <c r="N71">
        <v>4.1150000000000002</v>
      </c>
      <c r="O71">
        <v>5</v>
      </c>
      <c r="P71">
        <v>2</v>
      </c>
      <c r="Q71">
        <v>3</v>
      </c>
      <c r="R71">
        <v>5</v>
      </c>
      <c r="S71">
        <v>4</v>
      </c>
      <c r="T71" s="2">
        <v>4</v>
      </c>
      <c r="U71">
        <v>2</v>
      </c>
      <c r="V71">
        <v>5</v>
      </c>
      <c r="W71">
        <v>2</v>
      </c>
      <c r="X71">
        <v>3</v>
      </c>
      <c r="Y71">
        <v>4</v>
      </c>
      <c r="Z71">
        <v>3</v>
      </c>
      <c r="AA71">
        <v>1</v>
      </c>
      <c r="AB71">
        <v>2</v>
      </c>
      <c r="AC71" s="2">
        <v>3</v>
      </c>
      <c r="AD71">
        <v>5</v>
      </c>
      <c r="AE71">
        <v>2</v>
      </c>
    </row>
    <row r="72" spans="1:31" x14ac:dyDescent="0.25">
      <c r="A72" t="s">
        <v>15</v>
      </c>
      <c r="B72" t="s">
        <v>119</v>
      </c>
      <c r="C72">
        <v>1</v>
      </c>
      <c r="D72">
        <v>90.114000000000004</v>
      </c>
      <c r="E72">
        <v>1</v>
      </c>
      <c r="F72">
        <v>12.731999999999999</v>
      </c>
      <c r="G72">
        <v>1</v>
      </c>
      <c r="H72">
        <v>25.943000000000001</v>
      </c>
      <c r="I72">
        <v>0</v>
      </c>
      <c r="J72">
        <v>152.43600000000001</v>
      </c>
      <c r="K72">
        <v>1</v>
      </c>
      <c r="L72">
        <v>170.102</v>
      </c>
      <c r="M72">
        <v>4</v>
      </c>
      <c r="N72">
        <v>3.9239999999999999</v>
      </c>
      <c r="O72">
        <v>4</v>
      </c>
      <c r="P72">
        <v>4</v>
      </c>
      <c r="Q72">
        <v>3</v>
      </c>
      <c r="R72">
        <v>5</v>
      </c>
      <c r="S72">
        <v>4</v>
      </c>
      <c r="T72" s="2">
        <v>4</v>
      </c>
      <c r="U72">
        <v>4</v>
      </c>
      <c r="V72">
        <v>5</v>
      </c>
      <c r="W72">
        <v>5</v>
      </c>
      <c r="X72">
        <v>5</v>
      </c>
      <c r="Y72">
        <v>5</v>
      </c>
      <c r="Z72">
        <v>2</v>
      </c>
      <c r="AA72">
        <v>2</v>
      </c>
      <c r="AB72">
        <v>2</v>
      </c>
      <c r="AC72" s="2">
        <v>3</v>
      </c>
      <c r="AD72">
        <v>3</v>
      </c>
      <c r="AE72">
        <v>3</v>
      </c>
    </row>
    <row r="73" spans="1:31" x14ac:dyDescent="0.25">
      <c r="A73" t="s">
        <v>15</v>
      </c>
      <c r="B73" t="s">
        <v>120</v>
      </c>
      <c r="C73">
        <v>1</v>
      </c>
      <c r="D73">
        <v>43.057000000000002</v>
      </c>
      <c r="E73">
        <v>1</v>
      </c>
      <c r="F73">
        <v>50.67</v>
      </c>
      <c r="G73">
        <v>1</v>
      </c>
      <c r="H73">
        <v>30.654</v>
      </c>
      <c r="I73">
        <v>1</v>
      </c>
      <c r="J73">
        <v>24.141999999999999</v>
      </c>
      <c r="K73">
        <v>1</v>
      </c>
      <c r="L73">
        <v>10.723000000000001</v>
      </c>
      <c r="M73">
        <v>4</v>
      </c>
      <c r="N73">
        <v>6.4320000000000004</v>
      </c>
      <c r="O73">
        <v>3</v>
      </c>
      <c r="P73">
        <v>3</v>
      </c>
      <c r="Q73">
        <v>3</v>
      </c>
      <c r="R73">
        <v>3</v>
      </c>
      <c r="S73">
        <v>3</v>
      </c>
      <c r="T73" s="2">
        <v>4</v>
      </c>
      <c r="U73">
        <v>3</v>
      </c>
      <c r="V73">
        <v>3</v>
      </c>
      <c r="W73">
        <v>3</v>
      </c>
      <c r="X73">
        <v>3</v>
      </c>
      <c r="Y73">
        <v>3</v>
      </c>
      <c r="Z73">
        <v>3</v>
      </c>
      <c r="AA73">
        <v>3</v>
      </c>
      <c r="AB73">
        <v>3</v>
      </c>
      <c r="AC73" s="2">
        <v>3</v>
      </c>
      <c r="AD73">
        <v>3</v>
      </c>
      <c r="AE73">
        <v>3</v>
      </c>
    </row>
    <row r="74" spans="1:31" x14ac:dyDescent="0.25">
      <c r="A74" t="s">
        <v>15</v>
      </c>
      <c r="B74" t="s">
        <v>121</v>
      </c>
      <c r="C74">
        <v>0</v>
      </c>
      <c r="D74">
        <v>47.16</v>
      </c>
      <c r="E74">
        <v>1</v>
      </c>
      <c r="F74">
        <v>36.877000000000002</v>
      </c>
      <c r="G74">
        <v>1</v>
      </c>
      <c r="H74">
        <v>55.845999999999997</v>
      </c>
      <c r="I74">
        <v>1</v>
      </c>
      <c r="J74">
        <v>59.051000000000002</v>
      </c>
      <c r="K74">
        <v>1</v>
      </c>
      <c r="L74">
        <v>123.307</v>
      </c>
      <c r="M74">
        <v>4</v>
      </c>
      <c r="N74">
        <v>5.9809999999999999</v>
      </c>
      <c r="O74">
        <v>5</v>
      </c>
      <c r="P74">
        <v>5</v>
      </c>
      <c r="Q74">
        <v>3</v>
      </c>
      <c r="R74">
        <v>4</v>
      </c>
      <c r="S74">
        <v>4</v>
      </c>
      <c r="T74" s="2">
        <v>4</v>
      </c>
      <c r="U74">
        <v>3</v>
      </c>
      <c r="V74">
        <v>5</v>
      </c>
      <c r="W74">
        <v>4</v>
      </c>
      <c r="X74">
        <v>5</v>
      </c>
      <c r="Y74">
        <v>5</v>
      </c>
      <c r="Z74">
        <v>4</v>
      </c>
      <c r="AA74">
        <v>3</v>
      </c>
      <c r="AB74">
        <v>5</v>
      </c>
      <c r="AC74" s="2">
        <v>3</v>
      </c>
      <c r="AD74">
        <v>3</v>
      </c>
      <c r="AE74">
        <v>4</v>
      </c>
    </row>
    <row r="75" spans="1:31" x14ac:dyDescent="0.25">
      <c r="A75" t="s">
        <v>15</v>
      </c>
      <c r="B75" t="s">
        <v>122</v>
      </c>
      <c r="C75">
        <v>1</v>
      </c>
      <c r="D75">
        <v>115.2</v>
      </c>
      <c r="E75">
        <v>1</v>
      </c>
      <c r="F75">
        <v>49.598999999999997</v>
      </c>
      <c r="G75">
        <v>1</v>
      </c>
      <c r="H75">
        <v>124.51</v>
      </c>
      <c r="I75">
        <v>1</v>
      </c>
      <c r="J75">
        <v>168.97800000000001</v>
      </c>
      <c r="K75">
        <v>0</v>
      </c>
      <c r="L75">
        <v>134.34899999999999</v>
      </c>
      <c r="M75">
        <v>3</v>
      </c>
      <c r="N75">
        <v>10.374000000000001</v>
      </c>
      <c r="O75">
        <v>4</v>
      </c>
      <c r="P75">
        <v>5</v>
      </c>
      <c r="Q75">
        <v>3</v>
      </c>
      <c r="R75">
        <v>5</v>
      </c>
      <c r="S75">
        <v>5</v>
      </c>
      <c r="T75" s="2">
        <v>4</v>
      </c>
      <c r="U75">
        <v>5</v>
      </c>
      <c r="V75">
        <v>4</v>
      </c>
      <c r="W75">
        <v>5</v>
      </c>
      <c r="X75">
        <v>5</v>
      </c>
      <c r="Y75">
        <v>4</v>
      </c>
      <c r="Z75">
        <v>3</v>
      </c>
      <c r="AA75">
        <v>4</v>
      </c>
      <c r="AB75">
        <v>2</v>
      </c>
      <c r="AC75" s="2">
        <v>3</v>
      </c>
      <c r="AD75">
        <v>4</v>
      </c>
      <c r="AE75">
        <v>3</v>
      </c>
    </row>
    <row r="76" spans="1:31" x14ac:dyDescent="0.25">
      <c r="A76" t="s">
        <v>15</v>
      </c>
      <c r="B76" t="s">
        <v>123</v>
      </c>
      <c r="C76">
        <v>0</v>
      </c>
      <c r="D76">
        <v>85.06</v>
      </c>
      <c r="E76">
        <v>1</v>
      </c>
      <c r="F76">
        <v>37.896000000000001</v>
      </c>
      <c r="G76">
        <v>1</v>
      </c>
      <c r="H76">
        <v>86.930999999999997</v>
      </c>
      <c r="I76">
        <v>1</v>
      </c>
      <c r="J76">
        <v>40.819000000000003</v>
      </c>
      <c r="K76">
        <v>1</v>
      </c>
      <c r="L76">
        <v>45.609000000000002</v>
      </c>
      <c r="M76">
        <v>3</v>
      </c>
      <c r="N76">
        <v>5.4189999999999996</v>
      </c>
      <c r="O76">
        <v>5</v>
      </c>
      <c r="P76">
        <v>2</v>
      </c>
      <c r="Q76">
        <v>3</v>
      </c>
      <c r="R76">
        <v>5</v>
      </c>
      <c r="S76">
        <v>4</v>
      </c>
      <c r="T76" s="2">
        <v>4</v>
      </c>
      <c r="U76">
        <v>2</v>
      </c>
      <c r="V76">
        <v>5</v>
      </c>
      <c r="W76">
        <v>2</v>
      </c>
      <c r="X76">
        <v>3</v>
      </c>
      <c r="Y76">
        <v>4</v>
      </c>
      <c r="Z76">
        <v>3</v>
      </c>
      <c r="AA76">
        <v>1</v>
      </c>
      <c r="AB76">
        <v>2</v>
      </c>
      <c r="AC76" s="2">
        <v>3</v>
      </c>
      <c r="AD76">
        <v>5</v>
      </c>
      <c r="AE76">
        <v>2</v>
      </c>
    </row>
    <row r="77" spans="1:31" x14ac:dyDescent="0.25">
      <c r="A77" t="s">
        <v>15</v>
      </c>
      <c r="B77" t="s">
        <v>124</v>
      </c>
      <c r="C77">
        <v>1</v>
      </c>
      <c r="D77">
        <v>100.931</v>
      </c>
      <c r="E77">
        <v>1</v>
      </c>
      <c r="F77">
        <v>35.197000000000003</v>
      </c>
      <c r="G77">
        <v>1</v>
      </c>
      <c r="H77">
        <v>46.933</v>
      </c>
      <c r="I77">
        <v>0</v>
      </c>
      <c r="J77">
        <v>156.221</v>
      </c>
      <c r="K77">
        <v>1</v>
      </c>
      <c r="L77">
        <v>84.492000000000004</v>
      </c>
      <c r="M77">
        <v>3</v>
      </c>
      <c r="N77">
        <v>3.7719999999999998</v>
      </c>
      <c r="O77">
        <v>4</v>
      </c>
      <c r="P77">
        <v>4</v>
      </c>
      <c r="Q77">
        <v>3</v>
      </c>
      <c r="R77">
        <v>5</v>
      </c>
      <c r="S77">
        <v>4</v>
      </c>
      <c r="T77" s="2">
        <v>4</v>
      </c>
      <c r="U77">
        <v>4</v>
      </c>
      <c r="V77">
        <v>5</v>
      </c>
      <c r="W77">
        <v>5</v>
      </c>
      <c r="X77">
        <v>5</v>
      </c>
      <c r="Y77">
        <v>5</v>
      </c>
      <c r="Z77">
        <v>2</v>
      </c>
      <c r="AA77">
        <v>2</v>
      </c>
      <c r="AB77">
        <v>2</v>
      </c>
      <c r="AC77" s="2">
        <v>3</v>
      </c>
      <c r="AD77">
        <v>3</v>
      </c>
      <c r="AE77">
        <v>3</v>
      </c>
    </row>
    <row r="78" spans="1:31" x14ac:dyDescent="0.25">
      <c r="A78" t="s">
        <v>15</v>
      </c>
      <c r="B78" t="s">
        <v>125</v>
      </c>
      <c r="C78">
        <v>1</v>
      </c>
      <c r="D78">
        <v>92.885000000000005</v>
      </c>
      <c r="E78">
        <v>1</v>
      </c>
      <c r="F78">
        <v>80.674000000000007</v>
      </c>
      <c r="G78">
        <v>1</v>
      </c>
      <c r="H78">
        <v>58.354999999999997</v>
      </c>
      <c r="I78">
        <v>0</v>
      </c>
      <c r="J78">
        <v>143.86600000000001</v>
      </c>
      <c r="K78">
        <v>1</v>
      </c>
      <c r="L78">
        <v>93.47</v>
      </c>
      <c r="M78">
        <v>4</v>
      </c>
      <c r="N78">
        <v>4.9249999999999998</v>
      </c>
      <c r="O78">
        <v>2</v>
      </c>
      <c r="P78">
        <v>3</v>
      </c>
      <c r="Q78">
        <v>2</v>
      </c>
      <c r="R78">
        <v>3</v>
      </c>
      <c r="S78">
        <v>4</v>
      </c>
      <c r="T78" s="2">
        <v>4</v>
      </c>
      <c r="U78">
        <v>3</v>
      </c>
      <c r="V78">
        <v>4</v>
      </c>
      <c r="W78">
        <v>4</v>
      </c>
      <c r="X78">
        <v>2</v>
      </c>
      <c r="Y78">
        <v>3</v>
      </c>
      <c r="Z78">
        <v>4</v>
      </c>
      <c r="AA78">
        <v>4</v>
      </c>
      <c r="AB78">
        <v>3</v>
      </c>
      <c r="AC78" s="2">
        <v>3</v>
      </c>
      <c r="AD78">
        <v>4</v>
      </c>
      <c r="AE78">
        <v>2</v>
      </c>
    </row>
    <row r="79" spans="1:31" x14ac:dyDescent="0.25">
      <c r="A79" t="s">
        <v>15</v>
      </c>
      <c r="B79" t="s">
        <v>126</v>
      </c>
      <c r="C79">
        <v>1</v>
      </c>
      <c r="D79">
        <v>79.41</v>
      </c>
      <c r="E79">
        <v>1</v>
      </c>
      <c r="F79">
        <v>10.327</v>
      </c>
      <c r="G79">
        <v>1</v>
      </c>
      <c r="H79">
        <v>34.731000000000002</v>
      </c>
      <c r="I79">
        <v>0</v>
      </c>
      <c r="J79">
        <v>141.53399999999999</v>
      </c>
      <c r="K79">
        <v>1</v>
      </c>
      <c r="L79">
        <v>39.323</v>
      </c>
      <c r="M79">
        <v>3</v>
      </c>
      <c r="N79">
        <v>8.1150000000000002</v>
      </c>
      <c r="O79">
        <v>3</v>
      </c>
      <c r="P79">
        <v>3</v>
      </c>
      <c r="Q79">
        <v>3</v>
      </c>
      <c r="R79">
        <v>3</v>
      </c>
      <c r="S79">
        <v>3</v>
      </c>
      <c r="T79" s="2">
        <v>4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 s="2">
        <v>3</v>
      </c>
      <c r="AD79">
        <v>3</v>
      </c>
      <c r="AE79">
        <v>3</v>
      </c>
    </row>
    <row r="80" spans="1:31" x14ac:dyDescent="0.25">
      <c r="A80" t="s">
        <v>15</v>
      </c>
      <c r="B80" t="s">
        <v>127</v>
      </c>
      <c r="C80">
        <v>1</v>
      </c>
      <c r="D80">
        <v>119.288</v>
      </c>
      <c r="E80">
        <v>1</v>
      </c>
      <c r="F80">
        <v>63.11</v>
      </c>
      <c r="G80">
        <v>1</v>
      </c>
      <c r="H80">
        <v>14.757999999999999</v>
      </c>
      <c r="I80">
        <v>1</v>
      </c>
      <c r="J80">
        <v>120.986</v>
      </c>
      <c r="K80">
        <v>1</v>
      </c>
      <c r="L80">
        <v>91.070999999999998</v>
      </c>
      <c r="M80">
        <v>4</v>
      </c>
      <c r="N80">
        <v>6.0960000000000001</v>
      </c>
      <c r="O80">
        <v>5</v>
      </c>
      <c r="P80">
        <v>5</v>
      </c>
      <c r="Q80">
        <v>3</v>
      </c>
      <c r="R80">
        <v>4</v>
      </c>
      <c r="S80">
        <v>4</v>
      </c>
      <c r="T80" s="2">
        <v>4</v>
      </c>
      <c r="U80">
        <v>3</v>
      </c>
      <c r="V80">
        <v>5</v>
      </c>
      <c r="W80">
        <v>4</v>
      </c>
      <c r="X80">
        <v>5</v>
      </c>
      <c r="Y80">
        <v>5</v>
      </c>
      <c r="Z80">
        <v>4</v>
      </c>
      <c r="AA80">
        <v>3</v>
      </c>
      <c r="AB80">
        <v>5</v>
      </c>
      <c r="AC80" s="2">
        <v>3</v>
      </c>
      <c r="AD80">
        <v>3</v>
      </c>
      <c r="AE80">
        <v>4</v>
      </c>
    </row>
    <row r="81" spans="1:31" x14ac:dyDescent="0.25">
      <c r="A81" t="s">
        <v>15</v>
      </c>
      <c r="B81" t="s">
        <v>128</v>
      </c>
      <c r="C81">
        <v>1</v>
      </c>
      <c r="D81">
        <v>133.75800000000001</v>
      </c>
      <c r="E81">
        <v>1</v>
      </c>
      <c r="F81">
        <v>38.426000000000002</v>
      </c>
      <c r="G81">
        <v>1</v>
      </c>
      <c r="H81">
        <v>92.4</v>
      </c>
      <c r="I81">
        <v>1</v>
      </c>
      <c r="J81">
        <v>153.87100000000001</v>
      </c>
      <c r="K81">
        <v>1</v>
      </c>
      <c r="L81">
        <v>29.657</v>
      </c>
      <c r="M81">
        <v>4</v>
      </c>
      <c r="N81">
        <v>8.1110000000000007</v>
      </c>
      <c r="O81">
        <v>4</v>
      </c>
      <c r="P81">
        <v>5</v>
      </c>
      <c r="Q81">
        <v>3</v>
      </c>
      <c r="R81">
        <v>5</v>
      </c>
      <c r="S81">
        <v>5</v>
      </c>
      <c r="T81" s="2">
        <v>4</v>
      </c>
      <c r="U81">
        <v>5</v>
      </c>
      <c r="V81">
        <v>4</v>
      </c>
      <c r="W81">
        <v>5</v>
      </c>
      <c r="X81">
        <v>5</v>
      </c>
      <c r="Y81">
        <v>4</v>
      </c>
      <c r="Z81">
        <v>3</v>
      </c>
      <c r="AA81">
        <v>4</v>
      </c>
      <c r="AB81">
        <v>2</v>
      </c>
      <c r="AC81" s="2">
        <v>3</v>
      </c>
      <c r="AD81">
        <v>4</v>
      </c>
      <c r="AE81">
        <v>3</v>
      </c>
    </row>
    <row r="82" spans="1:31" x14ac:dyDescent="0.25">
      <c r="A82" t="s">
        <v>15</v>
      </c>
      <c r="B82" t="s">
        <v>129</v>
      </c>
      <c r="C82">
        <v>1</v>
      </c>
      <c r="D82">
        <v>43.218000000000004</v>
      </c>
      <c r="E82">
        <v>1</v>
      </c>
      <c r="F82">
        <v>38.29</v>
      </c>
      <c r="G82">
        <v>1</v>
      </c>
      <c r="H82">
        <v>40.802</v>
      </c>
      <c r="I82">
        <v>1</v>
      </c>
      <c r="J82">
        <v>60.008000000000003</v>
      </c>
      <c r="K82">
        <v>1</v>
      </c>
      <c r="L82">
        <v>235.6</v>
      </c>
      <c r="M82">
        <v>4</v>
      </c>
      <c r="N82">
        <v>8.2739999999999991</v>
      </c>
      <c r="O82">
        <v>5</v>
      </c>
      <c r="P82">
        <v>2</v>
      </c>
      <c r="Q82">
        <v>3</v>
      </c>
      <c r="R82">
        <v>5</v>
      </c>
      <c r="S82">
        <v>4</v>
      </c>
      <c r="T82" s="2">
        <v>4</v>
      </c>
      <c r="U82">
        <v>2</v>
      </c>
      <c r="V82">
        <v>5</v>
      </c>
      <c r="W82">
        <v>2</v>
      </c>
      <c r="X82">
        <v>3</v>
      </c>
      <c r="Y82">
        <v>4</v>
      </c>
      <c r="Z82">
        <v>3</v>
      </c>
      <c r="AA82">
        <v>1</v>
      </c>
      <c r="AB82">
        <v>2</v>
      </c>
      <c r="AC82" s="2">
        <v>3</v>
      </c>
      <c r="AD82">
        <v>5</v>
      </c>
      <c r="AE82">
        <v>2</v>
      </c>
    </row>
    <row r="83" spans="1:31" x14ac:dyDescent="0.25">
      <c r="A83" t="s">
        <v>15</v>
      </c>
      <c r="B83" t="s">
        <v>130</v>
      </c>
      <c r="C83">
        <v>1</v>
      </c>
      <c r="D83">
        <v>54.625999999999998</v>
      </c>
      <c r="E83">
        <v>1</v>
      </c>
      <c r="F83">
        <v>81.054000000000002</v>
      </c>
      <c r="G83">
        <v>1</v>
      </c>
      <c r="H83">
        <v>75.260999999999996</v>
      </c>
      <c r="I83">
        <v>1</v>
      </c>
      <c r="J83">
        <v>116.199</v>
      </c>
      <c r="K83">
        <v>1</v>
      </c>
      <c r="L83">
        <v>155.51400000000001</v>
      </c>
      <c r="M83">
        <v>3</v>
      </c>
      <c r="N83">
        <v>11.286</v>
      </c>
      <c r="O83">
        <v>4</v>
      </c>
      <c r="P83">
        <v>4</v>
      </c>
      <c r="Q83">
        <v>3</v>
      </c>
      <c r="R83">
        <v>5</v>
      </c>
      <c r="S83">
        <v>4</v>
      </c>
      <c r="T83" s="2">
        <v>4</v>
      </c>
      <c r="U83">
        <v>4</v>
      </c>
      <c r="V83">
        <v>5</v>
      </c>
      <c r="W83">
        <v>5</v>
      </c>
      <c r="X83">
        <v>5</v>
      </c>
      <c r="Y83">
        <v>5</v>
      </c>
      <c r="Z83">
        <v>2</v>
      </c>
      <c r="AA83">
        <v>2</v>
      </c>
      <c r="AB83">
        <v>2</v>
      </c>
      <c r="AC83" s="2">
        <v>3</v>
      </c>
      <c r="AD83">
        <v>3</v>
      </c>
      <c r="AE83">
        <v>3</v>
      </c>
    </row>
    <row r="84" spans="1:31" x14ac:dyDescent="0.25">
      <c r="A84" t="s">
        <v>15</v>
      </c>
      <c r="B84" t="s">
        <v>131</v>
      </c>
      <c r="C84">
        <v>1</v>
      </c>
      <c r="D84">
        <v>71.384</v>
      </c>
      <c r="E84">
        <v>1</v>
      </c>
      <c r="F84">
        <v>12.03</v>
      </c>
      <c r="G84">
        <v>1</v>
      </c>
      <c r="H84">
        <v>25.96</v>
      </c>
      <c r="I84">
        <v>1</v>
      </c>
      <c r="J84">
        <v>60.93</v>
      </c>
      <c r="K84">
        <v>1</v>
      </c>
      <c r="L84">
        <v>83.161000000000001</v>
      </c>
      <c r="M84">
        <v>4</v>
      </c>
      <c r="N84">
        <v>10.403</v>
      </c>
      <c r="O84">
        <v>2</v>
      </c>
      <c r="P84">
        <v>3</v>
      </c>
      <c r="Q84">
        <v>2</v>
      </c>
      <c r="R84">
        <v>3</v>
      </c>
      <c r="S84">
        <v>4</v>
      </c>
      <c r="T84" s="2">
        <v>4</v>
      </c>
      <c r="U84">
        <v>3</v>
      </c>
      <c r="V84">
        <v>4</v>
      </c>
      <c r="W84">
        <v>4</v>
      </c>
      <c r="X84">
        <v>2</v>
      </c>
      <c r="Y84">
        <v>3</v>
      </c>
      <c r="Z84">
        <v>4</v>
      </c>
      <c r="AA84">
        <v>4</v>
      </c>
      <c r="AB84">
        <v>3</v>
      </c>
      <c r="AC84" s="2">
        <v>3</v>
      </c>
      <c r="AD84">
        <v>4</v>
      </c>
      <c r="AE84">
        <v>2</v>
      </c>
    </row>
    <row r="85" spans="1:31" x14ac:dyDescent="0.25">
      <c r="A85" t="s">
        <v>15</v>
      </c>
      <c r="B85" t="s">
        <v>132</v>
      </c>
      <c r="C85">
        <v>1</v>
      </c>
      <c r="D85">
        <v>72.685000000000002</v>
      </c>
      <c r="E85">
        <v>1</v>
      </c>
      <c r="F85">
        <v>18.027999999999999</v>
      </c>
      <c r="G85">
        <v>1</v>
      </c>
      <c r="H85">
        <v>48.826000000000001</v>
      </c>
      <c r="I85">
        <v>1</v>
      </c>
      <c r="J85">
        <v>87.608999999999995</v>
      </c>
      <c r="K85">
        <v>1</v>
      </c>
      <c r="L85">
        <v>97.075999999999993</v>
      </c>
      <c r="M85">
        <v>4</v>
      </c>
      <c r="N85">
        <v>6.0910000000000002</v>
      </c>
      <c r="O85">
        <v>3</v>
      </c>
      <c r="P85">
        <v>2</v>
      </c>
      <c r="Q85">
        <v>2</v>
      </c>
      <c r="R85">
        <v>3</v>
      </c>
      <c r="S85">
        <v>4</v>
      </c>
      <c r="T85" s="2">
        <v>4</v>
      </c>
      <c r="U85">
        <v>3</v>
      </c>
      <c r="V85">
        <v>4</v>
      </c>
      <c r="W85">
        <v>4</v>
      </c>
      <c r="X85">
        <v>4</v>
      </c>
      <c r="Y85">
        <v>4</v>
      </c>
      <c r="Z85">
        <v>4</v>
      </c>
      <c r="AA85">
        <v>3</v>
      </c>
      <c r="AB85">
        <v>3</v>
      </c>
      <c r="AC85" s="2">
        <v>3</v>
      </c>
      <c r="AD85">
        <v>3</v>
      </c>
      <c r="AE85">
        <v>3</v>
      </c>
    </row>
    <row r="86" spans="1:31" x14ac:dyDescent="0.25">
      <c r="A86" t="s">
        <v>15</v>
      </c>
      <c r="B86" t="s">
        <v>133</v>
      </c>
      <c r="C86">
        <v>1</v>
      </c>
      <c r="D86">
        <v>90.486999999999995</v>
      </c>
      <c r="E86">
        <v>1</v>
      </c>
      <c r="F86">
        <v>55.457999999999998</v>
      </c>
      <c r="G86">
        <v>1</v>
      </c>
      <c r="H86">
        <v>40.222000000000001</v>
      </c>
      <c r="I86">
        <v>1</v>
      </c>
      <c r="J86">
        <v>93.367999999999995</v>
      </c>
      <c r="K86">
        <v>1</v>
      </c>
      <c r="L86">
        <v>95.793000000000006</v>
      </c>
      <c r="M86">
        <v>2</v>
      </c>
      <c r="N86">
        <v>3.5830000000000002</v>
      </c>
      <c r="O86">
        <v>5</v>
      </c>
      <c r="P86">
        <v>5</v>
      </c>
      <c r="Q86">
        <v>4</v>
      </c>
      <c r="R86">
        <v>5</v>
      </c>
      <c r="S86">
        <v>4</v>
      </c>
      <c r="T86" s="2">
        <v>4</v>
      </c>
      <c r="U86">
        <v>5</v>
      </c>
      <c r="V86">
        <v>5</v>
      </c>
      <c r="W86">
        <v>4</v>
      </c>
      <c r="X86">
        <v>5</v>
      </c>
      <c r="Y86">
        <v>5</v>
      </c>
      <c r="Z86">
        <v>5</v>
      </c>
      <c r="AA86">
        <v>3</v>
      </c>
      <c r="AB86">
        <v>5</v>
      </c>
      <c r="AC86" s="2">
        <v>3</v>
      </c>
      <c r="AD86">
        <v>4</v>
      </c>
      <c r="AE86">
        <v>3</v>
      </c>
    </row>
    <row r="87" spans="1:31" x14ac:dyDescent="0.25">
      <c r="A87" t="s">
        <v>15</v>
      </c>
      <c r="B87" t="s">
        <v>134</v>
      </c>
      <c r="C87">
        <v>1</v>
      </c>
      <c r="D87">
        <v>137.298</v>
      </c>
      <c r="E87">
        <v>1</v>
      </c>
      <c r="F87">
        <v>69.620999999999995</v>
      </c>
      <c r="G87">
        <v>1</v>
      </c>
      <c r="H87">
        <v>79.073999999999998</v>
      </c>
      <c r="I87">
        <v>1</v>
      </c>
      <c r="J87">
        <v>38.417000000000002</v>
      </c>
      <c r="K87">
        <v>0</v>
      </c>
      <c r="L87">
        <v>68.945999999999998</v>
      </c>
      <c r="M87">
        <v>4</v>
      </c>
      <c r="N87">
        <v>8.0299999999999994</v>
      </c>
      <c r="O87">
        <v>5</v>
      </c>
      <c r="P87">
        <v>5</v>
      </c>
      <c r="Q87">
        <v>4</v>
      </c>
      <c r="R87">
        <v>4</v>
      </c>
      <c r="S87">
        <v>3</v>
      </c>
      <c r="T87" s="2">
        <v>4</v>
      </c>
      <c r="U87">
        <v>5</v>
      </c>
      <c r="V87">
        <v>5</v>
      </c>
      <c r="W87">
        <v>3</v>
      </c>
      <c r="X87">
        <v>4</v>
      </c>
      <c r="Y87">
        <v>4</v>
      </c>
      <c r="Z87">
        <v>4</v>
      </c>
      <c r="AA87">
        <v>3</v>
      </c>
      <c r="AB87">
        <v>5</v>
      </c>
      <c r="AC87" s="2">
        <v>3</v>
      </c>
      <c r="AD87">
        <v>2</v>
      </c>
      <c r="AE87">
        <v>4</v>
      </c>
    </row>
    <row r="88" spans="1:31" x14ac:dyDescent="0.25">
      <c r="A88" t="s">
        <v>15</v>
      </c>
      <c r="B88" t="s">
        <v>135</v>
      </c>
      <c r="C88">
        <v>1</v>
      </c>
      <c r="D88">
        <v>83.463999999999999</v>
      </c>
      <c r="E88">
        <v>1</v>
      </c>
      <c r="F88">
        <v>77.051000000000002</v>
      </c>
      <c r="G88">
        <v>1</v>
      </c>
      <c r="H88">
        <v>87.915999999999997</v>
      </c>
      <c r="I88">
        <v>1</v>
      </c>
      <c r="J88">
        <v>155.68100000000001</v>
      </c>
      <c r="K88">
        <v>1</v>
      </c>
      <c r="L88">
        <v>153.916</v>
      </c>
      <c r="M88">
        <v>4</v>
      </c>
      <c r="N88">
        <v>10.965</v>
      </c>
      <c r="O88">
        <v>4</v>
      </c>
      <c r="P88">
        <v>5</v>
      </c>
      <c r="Q88">
        <v>4</v>
      </c>
      <c r="R88">
        <v>4</v>
      </c>
      <c r="S88">
        <v>5</v>
      </c>
      <c r="T88" s="2">
        <v>4</v>
      </c>
      <c r="U88">
        <v>4</v>
      </c>
      <c r="V88">
        <v>5</v>
      </c>
      <c r="W88">
        <v>4</v>
      </c>
      <c r="X88">
        <v>4</v>
      </c>
      <c r="Y88">
        <v>4</v>
      </c>
      <c r="Z88">
        <v>3</v>
      </c>
      <c r="AA88">
        <v>1</v>
      </c>
      <c r="AB88">
        <v>2</v>
      </c>
      <c r="AC88" s="2">
        <v>3</v>
      </c>
      <c r="AD88">
        <v>4</v>
      </c>
      <c r="AE88">
        <v>1</v>
      </c>
    </row>
    <row r="89" spans="1:31" x14ac:dyDescent="0.25">
      <c r="A89" t="s">
        <v>15</v>
      </c>
      <c r="B89" t="s">
        <v>136</v>
      </c>
      <c r="C89">
        <v>1</v>
      </c>
      <c r="D89">
        <v>103.565</v>
      </c>
      <c r="E89">
        <v>1</v>
      </c>
      <c r="F89">
        <v>30.004999999999999</v>
      </c>
      <c r="G89">
        <v>1</v>
      </c>
      <c r="H89">
        <v>53.936999999999998</v>
      </c>
      <c r="I89">
        <v>0</v>
      </c>
      <c r="J89">
        <v>93.009</v>
      </c>
      <c r="K89">
        <v>1</v>
      </c>
      <c r="L89">
        <v>30.658000000000001</v>
      </c>
      <c r="M89">
        <v>5</v>
      </c>
      <c r="N89">
        <v>4.8140000000000001</v>
      </c>
      <c r="O89">
        <v>3</v>
      </c>
      <c r="P89">
        <v>4</v>
      </c>
      <c r="Q89">
        <v>1</v>
      </c>
      <c r="R89">
        <v>3</v>
      </c>
      <c r="S89">
        <v>4</v>
      </c>
      <c r="T89" s="2">
        <v>4</v>
      </c>
      <c r="U89">
        <v>4</v>
      </c>
      <c r="V89">
        <v>5</v>
      </c>
      <c r="W89">
        <v>4</v>
      </c>
      <c r="X89">
        <v>4</v>
      </c>
      <c r="Y89">
        <v>5</v>
      </c>
      <c r="Z89">
        <v>3</v>
      </c>
      <c r="AA89">
        <v>1</v>
      </c>
      <c r="AB89">
        <v>2</v>
      </c>
      <c r="AC89" s="2">
        <v>3</v>
      </c>
      <c r="AD89">
        <v>5</v>
      </c>
      <c r="AE89">
        <v>1</v>
      </c>
    </row>
    <row r="90" spans="1:31" x14ac:dyDescent="0.25">
      <c r="A90" t="s">
        <v>15</v>
      </c>
      <c r="B90" t="s">
        <v>137</v>
      </c>
      <c r="C90">
        <v>1</v>
      </c>
      <c r="D90">
        <v>138.18899999999999</v>
      </c>
      <c r="E90">
        <v>1</v>
      </c>
      <c r="F90">
        <v>20.876000000000001</v>
      </c>
      <c r="G90">
        <v>1</v>
      </c>
      <c r="H90">
        <v>20.276</v>
      </c>
      <c r="I90">
        <v>0</v>
      </c>
      <c r="J90">
        <v>27.369</v>
      </c>
      <c r="K90">
        <v>1</v>
      </c>
      <c r="L90">
        <v>37.957000000000001</v>
      </c>
      <c r="M90">
        <v>4</v>
      </c>
      <c r="N90">
        <v>7.66</v>
      </c>
      <c r="O90">
        <v>4</v>
      </c>
      <c r="P90">
        <v>3</v>
      </c>
      <c r="Q90">
        <v>2</v>
      </c>
      <c r="R90">
        <v>5</v>
      </c>
      <c r="S90">
        <v>4</v>
      </c>
      <c r="T90" s="2">
        <v>4</v>
      </c>
      <c r="U90">
        <v>4</v>
      </c>
      <c r="V90">
        <v>5</v>
      </c>
      <c r="W90">
        <v>4</v>
      </c>
      <c r="X90">
        <v>4</v>
      </c>
      <c r="Y90">
        <v>5</v>
      </c>
      <c r="Z90">
        <v>5</v>
      </c>
      <c r="AA90">
        <v>4</v>
      </c>
      <c r="AB90">
        <v>4</v>
      </c>
      <c r="AC90" s="2">
        <v>3</v>
      </c>
      <c r="AD90">
        <v>4</v>
      </c>
      <c r="AE90">
        <v>3</v>
      </c>
    </row>
    <row r="91" spans="1:31" x14ac:dyDescent="0.25">
      <c r="A91" t="s">
        <v>15</v>
      </c>
      <c r="B91" t="s">
        <v>138</v>
      </c>
      <c r="C91">
        <v>1</v>
      </c>
      <c r="D91">
        <v>71.593999999999994</v>
      </c>
      <c r="E91">
        <v>1</v>
      </c>
      <c r="F91">
        <v>12.291</v>
      </c>
      <c r="G91">
        <v>1</v>
      </c>
      <c r="H91">
        <v>53.293999999999997</v>
      </c>
      <c r="I91">
        <v>1</v>
      </c>
      <c r="J91">
        <v>159.87100000000001</v>
      </c>
      <c r="K91">
        <v>1</v>
      </c>
      <c r="L91">
        <v>140.047</v>
      </c>
      <c r="M91">
        <v>4</v>
      </c>
      <c r="N91">
        <v>8.7799999999999994</v>
      </c>
      <c r="O91">
        <v>4</v>
      </c>
      <c r="P91">
        <v>3</v>
      </c>
      <c r="Q91">
        <v>2</v>
      </c>
      <c r="R91">
        <v>4</v>
      </c>
      <c r="S91">
        <v>4</v>
      </c>
      <c r="T91" s="2">
        <v>4</v>
      </c>
      <c r="U91">
        <v>4</v>
      </c>
      <c r="V91">
        <v>5</v>
      </c>
      <c r="W91">
        <v>3</v>
      </c>
      <c r="X91">
        <v>4</v>
      </c>
      <c r="Y91">
        <v>5</v>
      </c>
      <c r="Z91">
        <v>2</v>
      </c>
      <c r="AA91">
        <v>1</v>
      </c>
      <c r="AB91">
        <v>2</v>
      </c>
      <c r="AC91" s="2">
        <v>3</v>
      </c>
      <c r="AD91">
        <v>4</v>
      </c>
      <c r="AE91">
        <v>2</v>
      </c>
    </row>
    <row r="92" spans="1:31" x14ac:dyDescent="0.25">
      <c r="A92" t="s">
        <v>15</v>
      </c>
      <c r="B92" t="s">
        <v>139</v>
      </c>
      <c r="C92">
        <v>1</v>
      </c>
      <c r="D92">
        <v>112.05800000000001</v>
      </c>
      <c r="E92">
        <v>1</v>
      </c>
      <c r="F92">
        <v>27.545999999999999</v>
      </c>
      <c r="G92">
        <v>1</v>
      </c>
      <c r="H92">
        <v>114.798</v>
      </c>
      <c r="I92">
        <v>1</v>
      </c>
      <c r="J92">
        <v>111.843</v>
      </c>
      <c r="K92">
        <v>1</v>
      </c>
      <c r="L92">
        <v>31.629000000000001</v>
      </c>
      <c r="M92">
        <v>4</v>
      </c>
      <c r="N92">
        <v>5.016</v>
      </c>
      <c r="O92">
        <v>3</v>
      </c>
      <c r="P92">
        <v>4</v>
      </c>
      <c r="Q92">
        <v>3</v>
      </c>
      <c r="R92">
        <v>3</v>
      </c>
      <c r="S92">
        <v>3</v>
      </c>
      <c r="T92" s="2">
        <v>4</v>
      </c>
      <c r="U92">
        <v>3</v>
      </c>
      <c r="V92">
        <v>4</v>
      </c>
      <c r="W92">
        <v>4</v>
      </c>
      <c r="X92">
        <v>3</v>
      </c>
      <c r="Y92">
        <v>4</v>
      </c>
      <c r="Z92">
        <v>3</v>
      </c>
      <c r="AA92">
        <v>2</v>
      </c>
      <c r="AB92">
        <v>4</v>
      </c>
      <c r="AC92" s="2">
        <v>3</v>
      </c>
      <c r="AD92">
        <v>3</v>
      </c>
      <c r="AE92">
        <v>3</v>
      </c>
    </row>
    <row r="93" spans="1:31" x14ac:dyDescent="0.25">
      <c r="A93" t="s">
        <v>15</v>
      </c>
      <c r="B93" t="s">
        <v>140</v>
      </c>
      <c r="C93">
        <v>1</v>
      </c>
      <c r="D93">
        <v>85.929000000000002</v>
      </c>
      <c r="E93">
        <v>1</v>
      </c>
      <c r="F93">
        <v>52.546999999999997</v>
      </c>
      <c r="G93">
        <v>1</v>
      </c>
      <c r="H93">
        <v>22.815000000000001</v>
      </c>
      <c r="I93">
        <v>0</v>
      </c>
      <c r="J93">
        <v>140.29499999999999</v>
      </c>
      <c r="K93">
        <v>1</v>
      </c>
      <c r="L93">
        <v>124.96299999999999</v>
      </c>
      <c r="M93">
        <v>3</v>
      </c>
      <c r="N93">
        <v>4.9610000000000003</v>
      </c>
      <c r="O93">
        <v>5</v>
      </c>
      <c r="P93">
        <v>4</v>
      </c>
      <c r="Q93">
        <v>4</v>
      </c>
      <c r="R93">
        <v>5</v>
      </c>
      <c r="S93">
        <v>4</v>
      </c>
      <c r="T93" s="2">
        <v>4</v>
      </c>
      <c r="U93">
        <v>4</v>
      </c>
      <c r="V93">
        <v>5</v>
      </c>
      <c r="W93">
        <v>3</v>
      </c>
      <c r="X93">
        <v>4</v>
      </c>
      <c r="Y93">
        <v>4</v>
      </c>
      <c r="Z93">
        <v>3</v>
      </c>
      <c r="AA93">
        <v>2</v>
      </c>
      <c r="AB93">
        <v>3</v>
      </c>
      <c r="AC93" s="2">
        <v>3</v>
      </c>
      <c r="AD93">
        <v>2</v>
      </c>
      <c r="AE93">
        <v>1</v>
      </c>
    </row>
    <row r="94" spans="1:31" x14ac:dyDescent="0.25">
      <c r="A94" t="s">
        <v>15</v>
      </c>
      <c r="B94" t="s">
        <v>141</v>
      </c>
      <c r="C94">
        <v>1</v>
      </c>
      <c r="D94">
        <v>47.268999999999998</v>
      </c>
      <c r="E94">
        <v>1</v>
      </c>
      <c r="F94">
        <v>64.176000000000002</v>
      </c>
      <c r="G94">
        <v>1</v>
      </c>
      <c r="H94">
        <v>83.563999999999993</v>
      </c>
      <c r="I94">
        <v>1</v>
      </c>
      <c r="J94">
        <v>94.058999999999997</v>
      </c>
      <c r="K94">
        <v>1</v>
      </c>
      <c r="L94">
        <v>63.481999999999999</v>
      </c>
      <c r="M94">
        <v>3</v>
      </c>
      <c r="N94">
        <v>8.4990000000000006</v>
      </c>
      <c r="O94">
        <v>4</v>
      </c>
      <c r="P94">
        <v>3</v>
      </c>
      <c r="Q94">
        <v>4</v>
      </c>
      <c r="R94">
        <v>4</v>
      </c>
      <c r="S94">
        <v>3</v>
      </c>
      <c r="T94" s="2">
        <v>4</v>
      </c>
      <c r="U94">
        <v>4</v>
      </c>
      <c r="V94">
        <v>4</v>
      </c>
      <c r="W94">
        <v>3</v>
      </c>
      <c r="X94">
        <v>3</v>
      </c>
      <c r="Y94">
        <v>4</v>
      </c>
      <c r="Z94">
        <v>3</v>
      </c>
      <c r="AA94">
        <v>3</v>
      </c>
      <c r="AB94">
        <v>4</v>
      </c>
      <c r="AC94" s="2">
        <v>3</v>
      </c>
      <c r="AD94">
        <v>3</v>
      </c>
      <c r="AE94">
        <v>3</v>
      </c>
    </row>
    <row r="95" spans="1:31" x14ac:dyDescent="0.25">
      <c r="A95" t="s">
        <v>15</v>
      </c>
      <c r="B95" t="s">
        <v>142</v>
      </c>
      <c r="C95">
        <v>1</v>
      </c>
      <c r="D95">
        <v>136.005</v>
      </c>
      <c r="E95">
        <v>1</v>
      </c>
      <c r="F95">
        <v>48.802</v>
      </c>
      <c r="G95">
        <v>1</v>
      </c>
      <c r="H95">
        <v>70.144000000000005</v>
      </c>
      <c r="I95">
        <v>1</v>
      </c>
      <c r="J95">
        <v>80.373999999999995</v>
      </c>
      <c r="K95">
        <v>1</v>
      </c>
      <c r="L95">
        <v>23.530999999999999</v>
      </c>
      <c r="M95">
        <v>3</v>
      </c>
      <c r="N95">
        <v>3.8079999999999998</v>
      </c>
      <c r="O95">
        <v>5</v>
      </c>
      <c r="P95">
        <v>5</v>
      </c>
      <c r="Q95">
        <v>5</v>
      </c>
      <c r="R95">
        <v>5</v>
      </c>
      <c r="S95">
        <v>4</v>
      </c>
      <c r="T95" s="2">
        <v>4</v>
      </c>
      <c r="U95">
        <v>4</v>
      </c>
      <c r="V95">
        <v>5</v>
      </c>
      <c r="W95">
        <v>4</v>
      </c>
      <c r="X95">
        <v>4</v>
      </c>
      <c r="Y95">
        <v>4</v>
      </c>
      <c r="Z95">
        <v>3</v>
      </c>
      <c r="AA95">
        <v>3</v>
      </c>
      <c r="AB95">
        <v>4</v>
      </c>
      <c r="AC95" s="2">
        <v>3</v>
      </c>
      <c r="AD95">
        <v>4</v>
      </c>
      <c r="AE95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AC6F-F414-40F6-B7B0-B0969EB3D0A2}">
  <dimension ref="A1:M94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5" max="5" width="12.85546875" customWidth="1"/>
  </cols>
  <sheetData>
    <row r="1" spans="1:13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78</v>
      </c>
      <c r="G1" t="s">
        <v>75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</row>
    <row r="2" spans="1:13" x14ac:dyDescent="0.25">
      <c r="A2" t="s">
        <v>14</v>
      </c>
      <c r="B2" t="s">
        <v>2</v>
      </c>
      <c r="C2">
        <f>SUM(raw_check!C3,raw_check!E3,raw_check!G3,raw_check!I3,raw_check!K3)/5*100</f>
        <v>100</v>
      </c>
      <c r="D2">
        <f>AVEDEV(raw_check!D3,raw_check!F3,raw_check!H3,raw_check!J3,raw_check!L3)</f>
        <v>20.935279999999999</v>
      </c>
      <c r="E2">
        <f>raw_check!M3</f>
        <v>4</v>
      </c>
      <c r="F2">
        <f>AVERAGE(raw_check!O3,raw_check!Q3,raw_check!U3)</f>
        <v>4</v>
      </c>
      <c r="G2">
        <f>raw_check!R3</f>
        <v>5</v>
      </c>
      <c r="H2">
        <f>raw_check!S3</f>
        <v>4</v>
      </c>
      <c r="I2">
        <f>raw_check!V3</f>
        <v>4</v>
      </c>
      <c r="J2">
        <f>6-raw_check!W3</f>
        <v>1</v>
      </c>
      <c r="K2">
        <f>raw_check!Y3</f>
        <v>4</v>
      </c>
      <c r="L2">
        <f>raw_check!X3</f>
        <v>1</v>
      </c>
      <c r="M2">
        <f>raw_check!P3</f>
        <v>3</v>
      </c>
    </row>
    <row r="3" spans="1:13" x14ac:dyDescent="0.25">
      <c r="A3" t="s">
        <v>14</v>
      </c>
      <c r="B3" t="s">
        <v>4</v>
      </c>
      <c r="C3">
        <f>SUM(raw_check!C4,raw_check!E4,raw_check!G4,raw_check!I4,raw_check!K4)/5*100</f>
        <v>100</v>
      </c>
      <c r="D3">
        <f>AVEDEV(raw_check!D4,raw_check!F4,raw_check!H4,raw_check!J4,raw_check!L4)</f>
        <v>25.159600000000001</v>
      </c>
      <c r="E3">
        <f>raw_check!M4</f>
        <v>3</v>
      </c>
      <c r="F3">
        <f>AVERAGE(raw_check!O4,raw_check!Q4,raw_check!U4)</f>
        <v>3.6666666666666665</v>
      </c>
      <c r="G3">
        <f>raw_check!R4</f>
        <v>4</v>
      </c>
      <c r="H3">
        <f>raw_check!S4</f>
        <v>4</v>
      </c>
      <c r="I3">
        <f>raw_check!V4</f>
        <v>5</v>
      </c>
      <c r="J3">
        <f>6-raw_check!W4</f>
        <v>3</v>
      </c>
      <c r="K3">
        <f>raw_check!Y4</f>
        <v>5</v>
      </c>
      <c r="L3">
        <f>raw_check!X4</f>
        <v>3</v>
      </c>
      <c r="M3">
        <f>raw_check!P4</f>
        <v>5</v>
      </c>
    </row>
    <row r="4" spans="1:13" x14ac:dyDescent="0.25">
      <c r="A4" t="s">
        <v>14</v>
      </c>
      <c r="B4" t="s">
        <v>6</v>
      </c>
      <c r="C4">
        <f>SUM(raw_check!C5,raw_check!E5,raw_check!G5,raw_check!I5,raw_check!K5)/5*100</f>
        <v>80</v>
      </c>
      <c r="D4">
        <f>AVEDEV(raw_check!D5,raw_check!F5,raw_check!H5,raw_check!J5,raw_check!L5)</f>
        <v>11.544799999999999</v>
      </c>
      <c r="E4">
        <f>raw_check!M5</f>
        <v>4</v>
      </c>
      <c r="F4">
        <f>AVERAGE(raw_check!O5,raw_check!Q5,raw_check!U5)</f>
        <v>2.3333333333333335</v>
      </c>
      <c r="G4">
        <f>raw_check!R5</f>
        <v>2</v>
      </c>
      <c r="H4">
        <f>raw_check!S5</f>
        <v>2</v>
      </c>
      <c r="I4">
        <f>raw_check!V5</f>
        <v>5</v>
      </c>
      <c r="J4">
        <f>6-raw_check!W5</f>
        <v>2</v>
      </c>
      <c r="K4">
        <f>raw_check!Y5</f>
        <v>3</v>
      </c>
      <c r="L4">
        <f>raw_check!X5</f>
        <v>3</v>
      </c>
      <c r="M4">
        <f>raw_check!P5</f>
        <v>3</v>
      </c>
    </row>
    <row r="5" spans="1:13" x14ac:dyDescent="0.25">
      <c r="A5" t="s">
        <v>14</v>
      </c>
      <c r="B5" t="s">
        <v>8</v>
      </c>
      <c r="C5">
        <f>SUM(raw_check!C6,raw_check!E6,raw_check!G6,raw_check!I6,raw_check!K6)/5*100</f>
        <v>80</v>
      </c>
      <c r="D5">
        <f>AVEDEV(raw_check!D6,raw_check!F6,raw_check!H6,raw_check!J6,raw_check!L6)</f>
        <v>7.4056000000000015</v>
      </c>
      <c r="E5">
        <f>raw_check!M6</f>
        <v>2</v>
      </c>
      <c r="F5">
        <f>AVERAGE(raw_check!O6,raw_check!Q6,raw_check!U6)</f>
        <v>2</v>
      </c>
      <c r="G5">
        <f>raw_check!R6</f>
        <v>1</v>
      </c>
      <c r="H5">
        <f>raw_check!S6</f>
        <v>1</v>
      </c>
      <c r="I5">
        <f>raw_check!V6</f>
        <v>4</v>
      </c>
      <c r="J5">
        <f>6-raw_check!W6</f>
        <v>3</v>
      </c>
      <c r="K5">
        <f>raw_check!Y6</f>
        <v>1</v>
      </c>
      <c r="L5">
        <f>raw_check!X6</f>
        <v>1</v>
      </c>
      <c r="M5">
        <f>raw_check!P6</f>
        <v>2</v>
      </c>
    </row>
    <row r="6" spans="1:13" x14ac:dyDescent="0.25">
      <c r="A6" t="s">
        <v>14</v>
      </c>
      <c r="B6" t="s">
        <v>10</v>
      </c>
      <c r="C6">
        <f>SUM(raw_check!C7,raw_check!E7,raw_check!G7,raw_check!I7,raw_check!K7)/5*100</f>
        <v>100</v>
      </c>
      <c r="D6">
        <f>AVEDEV(raw_check!D7,raw_check!F7,raw_check!H7,raw_check!J7,raw_check!L7)</f>
        <v>32.480240000000002</v>
      </c>
      <c r="E6">
        <f>raw_check!M7</f>
        <v>4</v>
      </c>
      <c r="F6">
        <f>AVERAGE(raw_check!O7,raw_check!Q7,raw_check!U7)</f>
        <v>5</v>
      </c>
      <c r="G6">
        <f>raw_check!R7</f>
        <v>5</v>
      </c>
      <c r="H6">
        <f>raw_check!S7</f>
        <v>5</v>
      </c>
      <c r="I6">
        <f>raw_check!V7</f>
        <v>5</v>
      </c>
      <c r="J6">
        <f>6-raw_check!W7</f>
        <v>1</v>
      </c>
      <c r="K6">
        <f>raw_check!Y7</f>
        <v>5</v>
      </c>
      <c r="L6">
        <f>raw_check!X7</f>
        <v>5</v>
      </c>
      <c r="M6">
        <f>raw_check!P7</f>
        <v>5</v>
      </c>
    </row>
    <row r="7" spans="1:13" x14ac:dyDescent="0.25">
      <c r="A7" t="s">
        <v>14</v>
      </c>
      <c r="B7" t="s">
        <v>12</v>
      </c>
      <c r="C7">
        <f>SUM(raw_check!C8,raw_check!E8,raw_check!G8,raw_check!I8,raw_check!K8)/5*100</f>
        <v>80</v>
      </c>
      <c r="D7">
        <f>AVEDEV(raw_check!D8,raw_check!F8,raw_check!H8,raw_check!J8,raw_check!L8)</f>
        <v>20.41808</v>
      </c>
      <c r="E7">
        <f>raw_check!M8</f>
        <v>3</v>
      </c>
      <c r="F7">
        <f>AVERAGE(raw_check!O8,raw_check!Q8,raw_check!U8)</f>
        <v>2.3333333333333335</v>
      </c>
      <c r="G7">
        <f>raw_check!R8</f>
        <v>2</v>
      </c>
      <c r="H7">
        <f>raw_check!S8</f>
        <v>3</v>
      </c>
      <c r="I7">
        <f>raw_check!V8</f>
        <v>5</v>
      </c>
      <c r="J7">
        <f>6-raw_check!W8</f>
        <v>4</v>
      </c>
      <c r="K7">
        <f>raw_check!Y8</f>
        <v>2</v>
      </c>
      <c r="L7">
        <f>raw_check!X8</f>
        <v>1</v>
      </c>
      <c r="M7">
        <f>raw_check!P8</f>
        <v>4</v>
      </c>
    </row>
    <row r="8" spans="1:13" x14ac:dyDescent="0.25">
      <c r="A8" t="s">
        <v>14</v>
      </c>
      <c r="B8" t="s">
        <v>16</v>
      </c>
      <c r="C8">
        <f>SUM(raw_check!C9,raw_check!E9,raw_check!G9,raw_check!I9,raw_check!K9)/5*100</f>
        <v>40</v>
      </c>
      <c r="D8">
        <f>AVEDEV(raw_check!D9,raw_check!F9,raw_check!H9,raw_check!J9,raw_check!L9)</f>
        <v>6.508799999999999</v>
      </c>
      <c r="E8">
        <f>raw_check!M9</f>
        <v>3</v>
      </c>
      <c r="F8">
        <f>AVERAGE(raw_check!O9,raw_check!Q9,raw_check!U9)</f>
        <v>3.3333333333333335</v>
      </c>
      <c r="G8">
        <f>raw_check!R9</f>
        <v>5</v>
      </c>
      <c r="H8">
        <f>raw_check!S9</f>
        <v>4</v>
      </c>
      <c r="I8">
        <f>raw_check!V9</f>
        <v>4</v>
      </c>
      <c r="J8">
        <f>6-raw_check!W9</f>
        <v>3</v>
      </c>
      <c r="K8">
        <f>raw_check!Y9</f>
        <v>3</v>
      </c>
      <c r="L8">
        <f>raw_check!X9</f>
        <v>4</v>
      </c>
      <c r="M8">
        <f>raw_check!P9</f>
        <v>2</v>
      </c>
    </row>
    <row r="9" spans="1:13" x14ac:dyDescent="0.25">
      <c r="A9" t="s">
        <v>14</v>
      </c>
      <c r="B9" t="s">
        <v>17</v>
      </c>
      <c r="C9">
        <f>SUM(raw_check!C10,raw_check!E10,raw_check!G10,raw_check!I10,raw_check!K10)/5*100</f>
        <v>60</v>
      </c>
      <c r="D9">
        <f>AVEDEV(raw_check!D10,raw_check!F10,raw_check!H10,raw_check!J10,raw_check!L10)</f>
        <v>18.076079999999997</v>
      </c>
      <c r="E9">
        <f>raw_check!M10</f>
        <v>2</v>
      </c>
      <c r="F9">
        <f>AVERAGE(raw_check!O10,raw_check!Q10,raw_check!U10)</f>
        <v>2.3333333333333335</v>
      </c>
      <c r="G9">
        <f>raw_check!R10</f>
        <v>2</v>
      </c>
      <c r="H9">
        <f>raw_check!S10</f>
        <v>2</v>
      </c>
      <c r="I9">
        <f>raw_check!V10</f>
        <v>1</v>
      </c>
      <c r="J9">
        <f>6-raw_check!W10</f>
        <v>3</v>
      </c>
      <c r="K9">
        <f>raw_check!Y10</f>
        <v>1</v>
      </c>
      <c r="L9">
        <f>raw_check!X10</f>
        <v>1</v>
      </c>
      <c r="M9">
        <f>raw_check!P10</f>
        <v>1</v>
      </c>
    </row>
    <row r="10" spans="1:13" x14ac:dyDescent="0.25">
      <c r="A10" t="s">
        <v>14</v>
      </c>
      <c r="B10" t="s">
        <v>18</v>
      </c>
      <c r="C10">
        <f>SUM(raw_check!C11,raw_check!E11,raw_check!G11,raw_check!I11,raw_check!K11)/5*100</f>
        <v>40</v>
      </c>
      <c r="D10">
        <f>AVEDEV(raw_check!D11,raw_check!F11,raw_check!H11,raw_check!J11,raw_check!L11)</f>
        <v>23.130800000000001</v>
      </c>
      <c r="E10">
        <f>raw_check!M11</f>
        <v>4</v>
      </c>
      <c r="F10">
        <f>AVERAGE(raw_check!O11,raw_check!Q11,raw_check!U11)</f>
        <v>3.6666666666666665</v>
      </c>
      <c r="G10">
        <f>raw_check!R11</f>
        <v>5</v>
      </c>
      <c r="H10">
        <f>raw_check!S11</f>
        <v>4</v>
      </c>
      <c r="I10">
        <f>raw_check!V11</f>
        <v>5</v>
      </c>
      <c r="J10">
        <f>6-raw_check!W11</f>
        <v>3</v>
      </c>
      <c r="K10">
        <f>raw_check!Y11</f>
        <v>4</v>
      </c>
      <c r="L10">
        <f>raw_check!X11</f>
        <v>5</v>
      </c>
      <c r="M10">
        <f>raw_check!P11</f>
        <v>4</v>
      </c>
    </row>
    <row r="11" spans="1:13" x14ac:dyDescent="0.25">
      <c r="A11" t="s">
        <v>14</v>
      </c>
      <c r="B11" t="s">
        <v>19</v>
      </c>
      <c r="C11">
        <f>SUM(raw_check!C12,raw_check!E12,raw_check!G12,raw_check!I12,raw_check!K12)/5*100</f>
        <v>100</v>
      </c>
      <c r="D11">
        <f>AVEDEV(raw_check!D12,raw_check!F12,raw_check!H12,raw_check!J12,raw_check!L12)</f>
        <v>20.717919999999999</v>
      </c>
      <c r="E11">
        <f>raw_check!M12</f>
        <v>2</v>
      </c>
      <c r="F11">
        <f>AVERAGE(raw_check!O12,raw_check!Q12,raw_check!U12)</f>
        <v>2</v>
      </c>
      <c r="G11">
        <f>raw_check!R12</f>
        <v>2</v>
      </c>
      <c r="H11">
        <f>raw_check!S12</f>
        <v>2</v>
      </c>
      <c r="I11">
        <f>raw_check!V12</f>
        <v>5</v>
      </c>
      <c r="J11">
        <f>6-raw_check!W12</f>
        <v>3</v>
      </c>
      <c r="K11">
        <f>raw_check!Y12</f>
        <v>1</v>
      </c>
      <c r="L11">
        <f>raw_check!X12</f>
        <v>1</v>
      </c>
      <c r="M11">
        <f>raw_check!P12</f>
        <v>2</v>
      </c>
    </row>
    <row r="12" spans="1:13" x14ac:dyDescent="0.25">
      <c r="A12" t="s">
        <v>14</v>
      </c>
      <c r="B12" t="s">
        <v>20</v>
      </c>
      <c r="C12">
        <f>SUM(raw_check!C13,raw_check!E13,raw_check!G13,raw_check!I13,raw_check!K13)/5*100</f>
        <v>40</v>
      </c>
      <c r="D12">
        <f>AVEDEV(raw_check!D13,raw_check!F13,raw_check!H13,raw_check!J13,raw_check!L13)</f>
        <v>44.237520000000004</v>
      </c>
      <c r="E12">
        <f>raw_check!M13</f>
        <v>4</v>
      </c>
      <c r="F12">
        <f>AVERAGE(raw_check!O13,raw_check!Q13,raw_check!U13)</f>
        <v>4.333333333333333</v>
      </c>
      <c r="G12">
        <f>raw_check!R13</f>
        <v>5</v>
      </c>
      <c r="H12">
        <f>raw_check!S13</f>
        <v>4</v>
      </c>
      <c r="I12">
        <f>raw_check!V13</f>
        <v>5</v>
      </c>
      <c r="J12">
        <f>6-raw_check!W13</f>
        <v>1</v>
      </c>
      <c r="K12">
        <f>raw_check!Y13</f>
        <v>4</v>
      </c>
      <c r="L12">
        <f>raw_check!X13</f>
        <v>4</v>
      </c>
      <c r="M12">
        <f>raw_check!P13</f>
        <v>5</v>
      </c>
    </row>
    <row r="13" spans="1:13" x14ac:dyDescent="0.25">
      <c r="A13" t="s">
        <v>14</v>
      </c>
      <c r="B13" t="s">
        <v>21</v>
      </c>
      <c r="C13">
        <f>SUM(raw_check!C14,raw_check!E14,raw_check!G14,raw_check!I14,raw_check!K14)/5*100</f>
        <v>80</v>
      </c>
      <c r="D13">
        <f>AVEDEV(raw_check!D14,raw_check!F14,raw_check!H14,raw_check!J14,raw_check!L14)</f>
        <v>29.298639999999999</v>
      </c>
      <c r="E13">
        <f>raw_check!M14</f>
        <v>4</v>
      </c>
      <c r="F13">
        <f>AVERAGE(raw_check!O14,raw_check!Q14,raw_check!U14)</f>
        <v>4.333333333333333</v>
      </c>
      <c r="G13">
        <f>raw_check!R14</f>
        <v>4</v>
      </c>
      <c r="H13">
        <f>raw_check!S14</f>
        <v>4</v>
      </c>
      <c r="I13">
        <f>raw_check!V14</f>
        <v>5</v>
      </c>
      <c r="J13">
        <f>6-raw_check!W14</f>
        <v>2</v>
      </c>
      <c r="K13">
        <f>raw_check!Y14</f>
        <v>5</v>
      </c>
      <c r="L13">
        <f>raw_check!X14</f>
        <v>3</v>
      </c>
      <c r="M13">
        <f>raw_check!P14</f>
        <v>4</v>
      </c>
    </row>
    <row r="14" spans="1:13" x14ac:dyDescent="0.25">
      <c r="A14" t="s">
        <v>14</v>
      </c>
      <c r="B14" t="s">
        <v>22</v>
      </c>
      <c r="C14">
        <f>SUM(raw_check!C15,raw_check!E15,raw_check!G15,raw_check!I15,raw_check!K15)/5*100</f>
        <v>100</v>
      </c>
      <c r="D14">
        <f>AVEDEV(raw_check!D15,raw_check!F15,raw_check!H15,raw_check!J15,raw_check!L15)</f>
        <v>113.30768</v>
      </c>
      <c r="E14">
        <f>raw_check!M15</f>
        <v>3</v>
      </c>
      <c r="F14">
        <f>AVERAGE(raw_check!O15,raw_check!Q15,raw_check!U15)</f>
        <v>3.6666666666666665</v>
      </c>
      <c r="G14">
        <f>raw_check!R15</f>
        <v>3</v>
      </c>
      <c r="H14">
        <f>raw_check!S15</f>
        <v>3</v>
      </c>
      <c r="I14">
        <f>raw_check!V15</f>
        <v>4</v>
      </c>
      <c r="J14">
        <f>6-raw_check!W15</f>
        <v>3</v>
      </c>
      <c r="K14">
        <f>raw_check!Y15</f>
        <v>4</v>
      </c>
      <c r="L14">
        <f>raw_check!X15</f>
        <v>4</v>
      </c>
      <c r="M14">
        <f>raw_check!P15</f>
        <v>3</v>
      </c>
    </row>
    <row r="15" spans="1:13" x14ac:dyDescent="0.25">
      <c r="A15" t="s">
        <v>14</v>
      </c>
      <c r="B15" t="s">
        <v>23</v>
      </c>
      <c r="C15">
        <f>SUM(raw_check!C16,raw_check!E16,raw_check!G16,raw_check!I16,raw_check!K16)/5*100</f>
        <v>100</v>
      </c>
      <c r="D15">
        <f>AVEDEV(raw_check!D16,raw_check!F16,raw_check!H16,raw_check!J16,raw_check!L16)</f>
        <v>31.107999999999997</v>
      </c>
      <c r="E15">
        <f>raw_check!M16</f>
        <v>3</v>
      </c>
      <c r="F15">
        <f>AVERAGE(raw_check!O16,raw_check!Q16,raw_check!U16)</f>
        <v>2.6666666666666665</v>
      </c>
      <c r="G15">
        <f>raw_check!R16</f>
        <v>2</v>
      </c>
      <c r="H15">
        <f>raw_check!S16</f>
        <v>2</v>
      </c>
      <c r="I15">
        <f>raw_check!V16</f>
        <v>4</v>
      </c>
      <c r="J15">
        <f>6-raw_check!W16</f>
        <v>4</v>
      </c>
      <c r="K15">
        <f>raw_check!Y16</f>
        <v>2</v>
      </c>
      <c r="L15">
        <f>raw_check!X16</f>
        <v>2</v>
      </c>
      <c r="M15">
        <f>raw_check!P16</f>
        <v>2</v>
      </c>
    </row>
    <row r="16" spans="1:13" x14ac:dyDescent="0.25">
      <c r="A16" t="s">
        <v>14</v>
      </c>
      <c r="B16" t="s">
        <v>24</v>
      </c>
      <c r="C16">
        <f>SUM(raw_check!C17,raw_check!E17,raw_check!G17,raw_check!I17,raw_check!K17)/5*100</f>
        <v>80</v>
      </c>
      <c r="D16">
        <f>AVEDEV(raw_check!D17,raw_check!F17,raw_check!H17,raw_check!J17,raw_check!L17)</f>
        <v>32.004399999999997</v>
      </c>
      <c r="E16">
        <f>raw_check!M17</f>
        <v>3</v>
      </c>
      <c r="F16">
        <f>AVERAGE(raw_check!O17,raw_check!Q17,raw_check!U17)</f>
        <v>2.3333333333333335</v>
      </c>
      <c r="G16">
        <f>raw_check!R17</f>
        <v>2</v>
      </c>
      <c r="H16">
        <f>raw_check!S17</f>
        <v>2</v>
      </c>
      <c r="I16">
        <f>raw_check!V17</f>
        <v>3</v>
      </c>
      <c r="J16">
        <f>6-raw_check!W17</f>
        <v>3</v>
      </c>
      <c r="K16">
        <f>raw_check!Y17</f>
        <v>2</v>
      </c>
      <c r="L16">
        <f>raw_check!X17</f>
        <v>2</v>
      </c>
      <c r="M16">
        <f>raw_check!P17</f>
        <v>3</v>
      </c>
    </row>
    <row r="17" spans="1:13" x14ac:dyDescent="0.25">
      <c r="A17" t="s">
        <v>14</v>
      </c>
      <c r="B17" t="s">
        <v>85</v>
      </c>
      <c r="C17">
        <f>SUM(raw_check!C18,raw_check!E18,raw_check!G18,raw_check!I18,raw_check!K18)/5*100</f>
        <v>80</v>
      </c>
      <c r="D17">
        <f>AVEDEV(raw_check!D18,raw_check!F18,raw_check!H18,raw_check!J18,raw_check!L18)</f>
        <v>34.595519999999993</v>
      </c>
      <c r="E17">
        <f>raw_check!M18</f>
        <v>2</v>
      </c>
      <c r="F17">
        <f>AVERAGE(raw_check!O18,raw_check!Q18,raw_check!U18)</f>
        <v>4</v>
      </c>
      <c r="G17">
        <f>raw_check!R18</f>
        <v>5</v>
      </c>
      <c r="H17">
        <f>raw_check!S18</f>
        <v>4</v>
      </c>
      <c r="I17">
        <f>raw_check!V18</f>
        <v>4</v>
      </c>
      <c r="J17">
        <f>6-raw_check!W18</f>
        <v>1</v>
      </c>
      <c r="K17">
        <f>raw_check!Y18</f>
        <v>4</v>
      </c>
      <c r="L17">
        <f>raw_check!X18</f>
        <v>1</v>
      </c>
      <c r="M17">
        <f>raw_check!P18</f>
        <v>3</v>
      </c>
    </row>
    <row r="18" spans="1:13" x14ac:dyDescent="0.25">
      <c r="A18" t="s">
        <v>14</v>
      </c>
      <c r="B18" t="s">
        <v>86</v>
      </c>
      <c r="C18">
        <f>SUM(raw_check!C19,raw_check!E19,raw_check!G19,raw_check!I19,raw_check!K19)/5*100</f>
        <v>80</v>
      </c>
      <c r="D18">
        <f>AVEDEV(raw_check!D19,raw_check!F19,raw_check!H19,raw_check!J19,raw_check!L19)</f>
        <v>61.375199999999992</v>
      </c>
      <c r="E18">
        <f>raw_check!M19</f>
        <v>3</v>
      </c>
      <c r="F18">
        <f>AVERAGE(raw_check!O19,raw_check!Q19,raw_check!U19)</f>
        <v>3.6666666666666665</v>
      </c>
      <c r="G18">
        <f>raw_check!R19</f>
        <v>4</v>
      </c>
      <c r="H18">
        <f>raw_check!S19</f>
        <v>4</v>
      </c>
      <c r="I18">
        <f>raw_check!V19</f>
        <v>5</v>
      </c>
      <c r="J18">
        <f>6-raw_check!W19</f>
        <v>3</v>
      </c>
      <c r="K18">
        <f>raw_check!Y19</f>
        <v>5</v>
      </c>
      <c r="L18">
        <f>raw_check!X19</f>
        <v>3</v>
      </c>
      <c r="M18">
        <f>raw_check!P19</f>
        <v>5</v>
      </c>
    </row>
    <row r="19" spans="1:13" x14ac:dyDescent="0.25">
      <c r="A19" t="s">
        <v>14</v>
      </c>
      <c r="B19" t="s">
        <v>87</v>
      </c>
      <c r="C19">
        <f>SUM(raw_check!C20,raw_check!E20,raw_check!G20,raw_check!I20,raw_check!K20)/5*100</f>
        <v>80</v>
      </c>
      <c r="D19">
        <f>AVEDEV(raw_check!D20,raw_check!F20,raw_check!H20,raw_check!J20,raw_check!L20)</f>
        <v>37.02272</v>
      </c>
      <c r="E19">
        <f>raw_check!M20</f>
        <v>4</v>
      </c>
      <c r="F19">
        <f>AVERAGE(raw_check!O20,raw_check!Q20,raw_check!U20)</f>
        <v>2.3333333333333335</v>
      </c>
      <c r="G19">
        <f>raw_check!R20</f>
        <v>2</v>
      </c>
      <c r="H19">
        <f>raw_check!S20</f>
        <v>2</v>
      </c>
      <c r="I19">
        <f>raw_check!V20</f>
        <v>5</v>
      </c>
      <c r="J19">
        <f>6-raw_check!W20</f>
        <v>2</v>
      </c>
      <c r="K19">
        <f>raw_check!Y20</f>
        <v>3</v>
      </c>
      <c r="L19">
        <f>raw_check!X20</f>
        <v>3</v>
      </c>
      <c r="M19">
        <f>raw_check!P20</f>
        <v>3</v>
      </c>
    </row>
    <row r="20" spans="1:13" x14ac:dyDescent="0.25">
      <c r="A20" t="s">
        <v>14</v>
      </c>
      <c r="B20" t="s">
        <v>88</v>
      </c>
      <c r="C20">
        <f>SUM(raw_check!C21,raw_check!E21,raw_check!G21,raw_check!I21,raw_check!K21)/5*100</f>
        <v>80</v>
      </c>
      <c r="D20">
        <f>AVEDEV(raw_check!D21,raw_check!F21,raw_check!H21,raw_check!J21,raw_check!L21)</f>
        <v>23.500720000000001</v>
      </c>
      <c r="E20">
        <f>raw_check!M21</f>
        <v>2</v>
      </c>
      <c r="F20">
        <f>AVERAGE(raw_check!O21,raw_check!Q21,raw_check!U21)</f>
        <v>2</v>
      </c>
      <c r="G20">
        <f>raw_check!R21</f>
        <v>1</v>
      </c>
      <c r="H20">
        <f>raw_check!S21</f>
        <v>1</v>
      </c>
      <c r="I20">
        <f>raw_check!V21</f>
        <v>4</v>
      </c>
      <c r="J20">
        <f>6-raw_check!W21</f>
        <v>3</v>
      </c>
      <c r="K20">
        <f>raw_check!Y21</f>
        <v>1</v>
      </c>
      <c r="L20">
        <f>raw_check!X21</f>
        <v>1</v>
      </c>
      <c r="M20">
        <f>raw_check!P21</f>
        <v>2</v>
      </c>
    </row>
    <row r="21" spans="1:13" x14ac:dyDescent="0.25">
      <c r="A21" t="s">
        <v>14</v>
      </c>
      <c r="B21" t="s">
        <v>89</v>
      </c>
      <c r="C21">
        <f>SUM(raw_check!C22,raw_check!E22,raw_check!G22,raw_check!I22,raw_check!K22)/5*100</f>
        <v>100</v>
      </c>
      <c r="D21">
        <f>AVEDEV(raw_check!D22,raw_check!F22,raw_check!H22,raw_check!J22,raw_check!L22)</f>
        <v>29.865199999999994</v>
      </c>
      <c r="E21">
        <f>raw_check!M22</f>
        <v>4</v>
      </c>
      <c r="F21">
        <f>AVERAGE(raw_check!O22,raw_check!Q22,raw_check!U22)</f>
        <v>5</v>
      </c>
      <c r="G21">
        <f>raw_check!R22</f>
        <v>5</v>
      </c>
      <c r="H21">
        <f>raw_check!S22</f>
        <v>5</v>
      </c>
      <c r="I21">
        <f>raw_check!V22</f>
        <v>5</v>
      </c>
      <c r="J21">
        <f>6-raw_check!W22</f>
        <v>1</v>
      </c>
      <c r="K21">
        <f>raw_check!Y22</f>
        <v>5</v>
      </c>
      <c r="L21">
        <f>raw_check!X22</f>
        <v>5</v>
      </c>
      <c r="M21">
        <f>raw_check!P22</f>
        <v>5</v>
      </c>
    </row>
    <row r="22" spans="1:13" x14ac:dyDescent="0.25">
      <c r="A22" t="s">
        <v>14</v>
      </c>
      <c r="B22" t="s">
        <v>90</v>
      </c>
      <c r="C22">
        <f>SUM(raw_check!C23,raw_check!E23,raw_check!G23,raw_check!I23,raw_check!K23)/5*100</f>
        <v>80</v>
      </c>
      <c r="D22">
        <f>AVEDEV(raw_check!D23,raw_check!F23,raw_check!H23,raw_check!J23,raw_check!L23)</f>
        <v>41.036559999999994</v>
      </c>
      <c r="E22">
        <f>raw_check!M23</f>
        <v>3</v>
      </c>
      <c r="F22">
        <f>AVERAGE(raw_check!O23,raw_check!Q23,raw_check!U23)</f>
        <v>2.3333333333333335</v>
      </c>
      <c r="G22">
        <f>raw_check!R23</f>
        <v>2</v>
      </c>
      <c r="H22">
        <f>raw_check!S23</f>
        <v>3</v>
      </c>
      <c r="I22">
        <f>raw_check!V23</f>
        <v>5</v>
      </c>
      <c r="J22">
        <f>6-raw_check!W23</f>
        <v>4</v>
      </c>
      <c r="K22">
        <f>raw_check!Y23</f>
        <v>2</v>
      </c>
      <c r="L22">
        <f>raw_check!X23</f>
        <v>1</v>
      </c>
      <c r="M22">
        <f>raw_check!P23</f>
        <v>4</v>
      </c>
    </row>
    <row r="23" spans="1:13" x14ac:dyDescent="0.25">
      <c r="A23" t="s">
        <v>14</v>
      </c>
      <c r="B23" t="s">
        <v>91</v>
      </c>
      <c r="C23">
        <f>SUM(raw_check!C24,raw_check!E24,raw_check!G24,raw_check!I24,raw_check!K24)/5*100</f>
        <v>40</v>
      </c>
      <c r="D23">
        <f>AVEDEV(raw_check!D24,raw_check!F24,raw_check!H24,raw_check!J24,raw_check!L24)</f>
        <v>26.6616</v>
      </c>
      <c r="E23">
        <f>raw_check!M24</f>
        <v>3</v>
      </c>
      <c r="F23">
        <f>AVERAGE(raw_check!O24,raw_check!Q24,raw_check!U24)</f>
        <v>3.3333333333333335</v>
      </c>
      <c r="G23">
        <f>raw_check!R24</f>
        <v>5</v>
      </c>
      <c r="H23">
        <f>raw_check!S24</f>
        <v>4</v>
      </c>
      <c r="I23">
        <f>raw_check!V24</f>
        <v>4</v>
      </c>
      <c r="J23">
        <f>6-raw_check!W24</f>
        <v>3</v>
      </c>
      <c r="K23">
        <f>raw_check!Y24</f>
        <v>3</v>
      </c>
      <c r="L23">
        <f>raw_check!X24</f>
        <v>4</v>
      </c>
      <c r="M23">
        <f>raw_check!P24</f>
        <v>2</v>
      </c>
    </row>
    <row r="24" spans="1:13" x14ac:dyDescent="0.25">
      <c r="A24" t="s">
        <v>14</v>
      </c>
      <c r="B24" t="s">
        <v>92</v>
      </c>
      <c r="C24">
        <f>SUM(raw_check!C25,raw_check!E25,raw_check!G25,raw_check!I25,raw_check!K25)/5*100</f>
        <v>60</v>
      </c>
      <c r="D24">
        <f>AVEDEV(raw_check!D25,raw_check!F25,raw_check!H25,raw_check!J25,raw_check!L25)</f>
        <v>50.643999999999998</v>
      </c>
      <c r="E24">
        <f>raw_check!M25</f>
        <v>2</v>
      </c>
      <c r="F24">
        <f>AVERAGE(raw_check!O25,raw_check!Q25,raw_check!U25)</f>
        <v>2.3333333333333335</v>
      </c>
      <c r="G24">
        <f>raw_check!R25</f>
        <v>2</v>
      </c>
      <c r="H24">
        <f>raw_check!S25</f>
        <v>2</v>
      </c>
      <c r="I24">
        <f>raw_check!V25</f>
        <v>1</v>
      </c>
      <c r="J24">
        <f>6-raw_check!W25</f>
        <v>3</v>
      </c>
      <c r="K24">
        <f>raw_check!Y25</f>
        <v>1</v>
      </c>
      <c r="L24">
        <f>raw_check!X25</f>
        <v>1</v>
      </c>
      <c r="M24">
        <f>raw_check!P25</f>
        <v>1</v>
      </c>
    </row>
    <row r="25" spans="1:13" x14ac:dyDescent="0.25">
      <c r="A25" t="s">
        <v>14</v>
      </c>
      <c r="B25" t="s">
        <v>93</v>
      </c>
      <c r="C25">
        <f>SUM(raw_check!C26,raw_check!E26,raw_check!G26,raw_check!I26,raw_check!K26)/5*100</f>
        <v>40</v>
      </c>
      <c r="D25">
        <f>AVEDEV(raw_check!D26,raw_check!F26,raw_check!H26,raw_check!J26,raw_check!L26)</f>
        <v>60.037200000000006</v>
      </c>
      <c r="E25">
        <f>raw_check!M26</f>
        <v>4</v>
      </c>
      <c r="F25">
        <f>AVERAGE(raw_check!O26,raw_check!Q26,raw_check!U26)</f>
        <v>3.6666666666666665</v>
      </c>
      <c r="G25">
        <f>raw_check!R26</f>
        <v>5</v>
      </c>
      <c r="H25">
        <f>raw_check!S26</f>
        <v>4</v>
      </c>
      <c r="I25">
        <f>raw_check!V26</f>
        <v>5</v>
      </c>
      <c r="J25">
        <f>6-raw_check!W26</f>
        <v>3</v>
      </c>
      <c r="K25">
        <f>raw_check!Y26</f>
        <v>4</v>
      </c>
      <c r="L25">
        <f>raw_check!X26</f>
        <v>5</v>
      </c>
      <c r="M25">
        <f>raw_check!P26</f>
        <v>4</v>
      </c>
    </row>
    <row r="26" spans="1:13" x14ac:dyDescent="0.25">
      <c r="A26" t="s">
        <v>14</v>
      </c>
      <c r="B26" t="s">
        <v>94</v>
      </c>
      <c r="C26">
        <f>SUM(raw_check!C27,raw_check!E27,raw_check!G27,raw_check!I27,raw_check!K27)/5*100</f>
        <v>80</v>
      </c>
      <c r="D26">
        <f>AVEDEV(raw_check!D27,raw_check!F27,raw_check!H27,raw_check!J27,raw_check!L27)</f>
        <v>61.455679999999994</v>
      </c>
      <c r="E26">
        <f>raw_check!M27</f>
        <v>2</v>
      </c>
      <c r="F26">
        <f>AVERAGE(raw_check!O27,raw_check!Q27,raw_check!U27)</f>
        <v>2</v>
      </c>
      <c r="G26">
        <f>raw_check!R27</f>
        <v>2</v>
      </c>
      <c r="H26">
        <f>raw_check!S27</f>
        <v>2</v>
      </c>
      <c r="I26">
        <f>raw_check!V27</f>
        <v>5</v>
      </c>
      <c r="J26">
        <f>6-raw_check!W27</f>
        <v>3</v>
      </c>
      <c r="K26">
        <f>raw_check!Y27</f>
        <v>1</v>
      </c>
      <c r="L26">
        <f>raw_check!X27</f>
        <v>1</v>
      </c>
      <c r="M26">
        <f>raw_check!P27</f>
        <v>2</v>
      </c>
    </row>
    <row r="27" spans="1:13" x14ac:dyDescent="0.25">
      <c r="A27" t="s">
        <v>14</v>
      </c>
      <c r="B27" t="s">
        <v>95</v>
      </c>
      <c r="C27">
        <f>SUM(raw_check!C28,raw_check!E28,raw_check!G28,raw_check!I28,raw_check!K28)/5*100</f>
        <v>40</v>
      </c>
      <c r="D27">
        <f>AVEDEV(raw_check!D28,raw_check!F28,raw_check!H28,raw_check!J28,raw_check!L28)</f>
        <v>66.498560000000012</v>
      </c>
      <c r="E27">
        <f>raw_check!M28</f>
        <v>4</v>
      </c>
      <c r="F27">
        <f>AVERAGE(raw_check!O28,raw_check!Q28,raw_check!U28)</f>
        <v>4.333333333333333</v>
      </c>
      <c r="G27">
        <f>raw_check!R28</f>
        <v>5</v>
      </c>
      <c r="H27">
        <f>raw_check!S28</f>
        <v>4</v>
      </c>
      <c r="I27">
        <f>raw_check!V28</f>
        <v>5</v>
      </c>
      <c r="J27">
        <f>6-raw_check!W28</f>
        <v>1</v>
      </c>
      <c r="K27">
        <f>raw_check!Y28</f>
        <v>4</v>
      </c>
      <c r="L27">
        <f>raw_check!X28</f>
        <v>4</v>
      </c>
      <c r="M27">
        <f>raw_check!P28</f>
        <v>5</v>
      </c>
    </row>
    <row r="28" spans="1:13" x14ac:dyDescent="0.25">
      <c r="A28" t="s">
        <v>14</v>
      </c>
      <c r="B28" t="s">
        <v>96</v>
      </c>
      <c r="C28">
        <f>SUM(raw_check!C29,raw_check!E29,raw_check!G29,raw_check!I29,raw_check!K29)/5*100</f>
        <v>80</v>
      </c>
      <c r="D28">
        <f>AVEDEV(raw_check!D29,raw_check!F29,raw_check!H29,raw_check!J29,raw_check!L29)</f>
        <v>34.805280000000003</v>
      </c>
      <c r="E28">
        <f>raw_check!M29</f>
        <v>4</v>
      </c>
      <c r="F28">
        <f>AVERAGE(raw_check!O29,raw_check!Q29,raw_check!U29)</f>
        <v>4.333333333333333</v>
      </c>
      <c r="G28">
        <f>raw_check!R29</f>
        <v>4</v>
      </c>
      <c r="H28">
        <f>raw_check!S29</f>
        <v>4</v>
      </c>
      <c r="I28">
        <f>raw_check!V29</f>
        <v>5</v>
      </c>
      <c r="J28">
        <f>6-raw_check!W29</f>
        <v>2</v>
      </c>
      <c r="K28">
        <f>raw_check!Y29</f>
        <v>5</v>
      </c>
      <c r="L28">
        <f>raw_check!X29</f>
        <v>3</v>
      </c>
      <c r="M28">
        <f>raw_check!P29</f>
        <v>4</v>
      </c>
    </row>
    <row r="29" spans="1:13" x14ac:dyDescent="0.25">
      <c r="A29" t="s">
        <v>14</v>
      </c>
      <c r="B29" t="s">
        <v>97</v>
      </c>
      <c r="C29">
        <f>SUM(raw_check!C30,raw_check!E30,raw_check!G30,raw_check!I30,raw_check!K30)/5*100</f>
        <v>100</v>
      </c>
      <c r="D29">
        <f>AVEDEV(raw_check!D30,raw_check!F30,raw_check!H30,raw_check!J30,raw_check!L30)</f>
        <v>55.119119999999995</v>
      </c>
      <c r="E29">
        <f>raw_check!M30</f>
        <v>3</v>
      </c>
      <c r="F29">
        <f>AVERAGE(raw_check!O30,raw_check!Q30,raw_check!U30)</f>
        <v>4</v>
      </c>
      <c r="G29">
        <f>raw_check!R30</f>
        <v>5</v>
      </c>
      <c r="H29">
        <f>raw_check!S30</f>
        <v>4</v>
      </c>
      <c r="I29">
        <f>raw_check!V30</f>
        <v>4</v>
      </c>
      <c r="J29">
        <f>6-raw_check!W30</f>
        <v>1</v>
      </c>
      <c r="K29">
        <f>raw_check!Y30</f>
        <v>4</v>
      </c>
      <c r="L29">
        <f>raw_check!X30</f>
        <v>1</v>
      </c>
      <c r="M29">
        <f>raw_check!P30</f>
        <v>3</v>
      </c>
    </row>
    <row r="30" spans="1:13" x14ac:dyDescent="0.25">
      <c r="A30" t="s">
        <v>14</v>
      </c>
      <c r="B30" t="s">
        <v>98</v>
      </c>
      <c r="C30">
        <f>SUM(raw_check!C31,raw_check!E31,raw_check!G31,raw_check!I31,raw_check!K31)/5*100</f>
        <v>80</v>
      </c>
      <c r="D30">
        <f>AVEDEV(raw_check!D31,raw_check!F31,raw_check!H31,raw_check!J31,raw_check!L31)</f>
        <v>65.683040000000005</v>
      </c>
      <c r="E30">
        <f>raw_check!M31</f>
        <v>3</v>
      </c>
      <c r="F30">
        <f>AVERAGE(raw_check!O31,raw_check!Q31,raw_check!U31)</f>
        <v>3.6666666666666665</v>
      </c>
      <c r="G30">
        <f>raw_check!R31</f>
        <v>4</v>
      </c>
      <c r="H30">
        <f>raw_check!S31</f>
        <v>4</v>
      </c>
      <c r="I30">
        <f>raw_check!V31</f>
        <v>5</v>
      </c>
      <c r="J30">
        <f>6-raw_check!W31</f>
        <v>3</v>
      </c>
      <c r="K30">
        <f>raw_check!Y31</f>
        <v>5</v>
      </c>
      <c r="L30">
        <f>raw_check!X31</f>
        <v>3</v>
      </c>
      <c r="M30">
        <f>raw_check!P31</f>
        <v>5</v>
      </c>
    </row>
    <row r="31" spans="1:13" x14ac:dyDescent="0.25">
      <c r="A31" t="s">
        <v>14</v>
      </c>
      <c r="B31" t="s">
        <v>99</v>
      </c>
      <c r="C31">
        <f>SUM(raw_check!C32,raw_check!E32,raw_check!G32,raw_check!I32,raw_check!K32)/5*100</f>
        <v>60</v>
      </c>
      <c r="D31">
        <f>AVEDEV(raw_check!D32,raw_check!F32,raw_check!H32,raw_check!J32,raw_check!L32)</f>
        <v>80.702239999999989</v>
      </c>
      <c r="E31">
        <f>raw_check!M32</f>
        <v>3</v>
      </c>
      <c r="F31">
        <f>AVERAGE(raw_check!O32,raw_check!Q32,raw_check!U32)</f>
        <v>2.3333333333333335</v>
      </c>
      <c r="G31">
        <f>raw_check!R32</f>
        <v>2</v>
      </c>
      <c r="H31">
        <f>raw_check!S32</f>
        <v>2</v>
      </c>
      <c r="I31">
        <f>raw_check!V32</f>
        <v>5</v>
      </c>
      <c r="J31">
        <f>6-raw_check!W32</f>
        <v>2</v>
      </c>
      <c r="K31">
        <f>raw_check!Y32</f>
        <v>3</v>
      </c>
      <c r="L31">
        <f>raw_check!X32</f>
        <v>3</v>
      </c>
      <c r="M31">
        <f>raw_check!P32</f>
        <v>3</v>
      </c>
    </row>
    <row r="32" spans="1:13" x14ac:dyDescent="0.25">
      <c r="A32" t="s">
        <v>14</v>
      </c>
      <c r="B32" t="s">
        <v>100</v>
      </c>
      <c r="C32">
        <f>SUM(raw_check!C33,raw_check!E33,raw_check!G33,raw_check!I33,raw_check!K33)/5*100</f>
        <v>100</v>
      </c>
      <c r="D32">
        <f>AVEDEV(raw_check!D33,raw_check!F33,raw_check!H33,raw_check!J33,raw_check!L33)</f>
        <v>57.356640000000006</v>
      </c>
      <c r="E32">
        <f>raw_check!M33</f>
        <v>4</v>
      </c>
      <c r="F32">
        <f>AVERAGE(raw_check!O33,raw_check!Q33,raw_check!U33)</f>
        <v>2</v>
      </c>
      <c r="G32">
        <f>raw_check!R33</f>
        <v>1</v>
      </c>
      <c r="H32">
        <f>raw_check!S33</f>
        <v>1</v>
      </c>
      <c r="I32">
        <f>raw_check!V33</f>
        <v>4</v>
      </c>
      <c r="J32">
        <f>6-raw_check!W33</f>
        <v>3</v>
      </c>
      <c r="K32">
        <f>raw_check!Y33</f>
        <v>1</v>
      </c>
      <c r="L32">
        <f>raw_check!X33</f>
        <v>1</v>
      </c>
      <c r="M32">
        <f>raw_check!P33</f>
        <v>2</v>
      </c>
    </row>
    <row r="33" spans="1:13" x14ac:dyDescent="0.25">
      <c r="A33" t="s">
        <v>14</v>
      </c>
      <c r="B33" t="s">
        <v>101</v>
      </c>
      <c r="C33">
        <f>SUM(raw_check!C34,raw_check!E34,raw_check!G34,raw_check!I34,raw_check!K34)/5*100</f>
        <v>100</v>
      </c>
      <c r="D33">
        <f>AVEDEV(raw_check!D34,raw_check!F34,raw_check!H34,raw_check!J34,raw_check!L34)</f>
        <v>19.975439999999992</v>
      </c>
      <c r="E33">
        <f>raw_check!M34</f>
        <v>3</v>
      </c>
      <c r="F33">
        <f>AVERAGE(raw_check!O34,raw_check!Q34,raw_check!U34)</f>
        <v>5</v>
      </c>
      <c r="G33">
        <f>raw_check!R34</f>
        <v>5</v>
      </c>
      <c r="H33">
        <f>raw_check!S34</f>
        <v>5</v>
      </c>
      <c r="I33">
        <f>raw_check!V34</f>
        <v>5</v>
      </c>
      <c r="J33">
        <f>6-raw_check!W34</f>
        <v>1</v>
      </c>
      <c r="K33">
        <f>raw_check!Y34</f>
        <v>5</v>
      </c>
      <c r="L33">
        <f>raw_check!X34</f>
        <v>5</v>
      </c>
      <c r="M33">
        <f>raw_check!P34</f>
        <v>5</v>
      </c>
    </row>
    <row r="34" spans="1:13" x14ac:dyDescent="0.25">
      <c r="A34" t="s">
        <v>14</v>
      </c>
      <c r="B34" t="s">
        <v>102</v>
      </c>
      <c r="C34">
        <f>SUM(raw_check!C35,raw_check!E35,raw_check!G35,raw_check!I35,raw_check!K35)/5*100</f>
        <v>60</v>
      </c>
      <c r="D34">
        <f>AVEDEV(raw_check!D35,raw_check!F35,raw_check!H35,raw_check!J35,raw_check!L35)</f>
        <v>51.017760000000003</v>
      </c>
      <c r="E34">
        <f>raw_check!M35</f>
        <v>3</v>
      </c>
      <c r="F34">
        <f>AVERAGE(raw_check!O35,raw_check!Q35,raw_check!U35)</f>
        <v>2.3333333333333335</v>
      </c>
      <c r="G34">
        <f>raw_check!R35</f>
        <v>2</v>
      </c>
      <c r="H34">
        <f>raw_check!S35</f>
        <v>3</v>
      </c>
      <c r="I34">
        <f>raw_check!V35</f>
        <v>5</v>
      </c>
      <c r="J34">
        <f>6-raw_check!W35</f>
        <v>4</v>
      </c>
      <c r="K34">
        <f>raw_check!Y35</f>
        <v>2</v>
      </c>
      <c r="L34">
        <f>raw_check!X35</f>
        <v>1</v>
      </c>
      <c r="M34">
        <f>raw_check!P35</f>
        <v>4</v>
      </c>
    </row>
    <row r="35" spans="1:13" x14ac:dyDescent="0.25">
      <c r="A35" t="s">
        <v>14</v>
      </c>
      <c r="B35" t="s">
        <v>103</v>
      </c>
      <c r="C35">
        <f>SUM(raw_check!C36,raw_check!E36,raw_check!G36,raw_check!I36,raw_check!K36)/5*100</f>
        <v>80</v>
      </c>
      <c r="D35">
        <f>AVEDEV(raw_check!D36,raw_check!F36,raw_check!H36,raw_check!J36,raw_check!L36)</f>
        <v>25.71848</v>
      </c>
      <c r="E35">
        <f>raw_check!M36</f>
        <v>2</v>
      </c>
      <c r="F35">
        <f>AVERAGE(raw_check!O36,raw_check!Q36,raw_check!U36)</f>
        <v>3.3333333333333335</v>
      </c>
      <c r="G35">
        <f>raw_check!R36</f>
        <v>5</v>
      </c>
      <c r="H35">
        <f>raw_check!S36</f>
        <v>4</v>
      </c>
      <c r="I35">
        <f>raw_check!V36</f>
        <v>4</v>
      </c>
      <c r="J35">
        <f>6-raw_check!W36</f>
        <v>3</v>
      </c>
      <c r="K35">
        <f>raw_check!Y36</f>
        <v>3</v>
      </c>
      <c r="L35">
        <f>raw_check!X36</f>
        <v>4</v>
      </c>
      <c r="M35">
        <f>raw_check!P36</f>
        <v>2</v>
      </c>
    </row>
    <row r="36" spans="1:13" x14ac:dyDescent="0.25">
      <c r="A36" t="s">
        <v>14</v>
      </c>
      <c r="B36" t="s">
        <v>104</v>
      </c>
      <c r="C36">
        <f>SUM(raw_check!C37,raw_check!E37,raw_check!G37,raw_check!I37,raw_check!K37)/5*100</f>
        <v>80</v>
      </c>
      <c r="D36">
        <f>AVEDEV(raw_check!D37,raw_check!F37,raw_check!H37,raw_check!J37,raw_check!L37)</f>
        <v>98.373599999999982</v>
      </c>
      <c r="E36">
        <f>raw_check!M37</f>
        <v>4</v>
      </c>
      <c r="F36">
        <f>AVERAGE(raw_check!O37,raw_check!Q37,raw_check!U37)</f>
        <v>2.3333333333333335</v>
      </c>
      <c r="G36">
        <f>raw_check!R37</f>
        <v>2</v>
      </c>
      <c r="H36">
        <f>raw_check!S37</f>
        <v>2</v>
      </c>
      <c r="I36">
        <f>raw_check!V37</f>
        <v>1</v>
      </c>
      <c r="J36">
        <f>6-raw_check!W37</f>
        <v>3</v>
      </c>
      <c r="K36">
        <f>raw_check!Y37</f>
        <v>1</v>
      </c>
      <c r="L36">
        <f>raw_check!X37</f>
        <v>1</v>
      </c>
      <c r="M36">
        <f>raw_check!P37</f>
        <v>1</v>
      </c>
    </row>
    <row r="37" spans="1:13" x14ac:dyDescent="0.25">
      <c r="A37" t="s">
        <v>14</v>
      </c>
      <c r="B37" t="s">
        <v>105</v>
      </c>
      <c r="C37">
        <f>SUM(raw_check!C38,raw_check!E38,raw_check!G38,raw_check!I38,raw_check!K38)/5*100</f>
        <v>60</v>
      </c>
      <c r="D37">
        <f>AVEDEV(raw_check!D38,raw_check!F38,raw_check!H38,raw_check!J38,raw_check!L38)</f>
        <v>62.572400000000016</v>
      </c>
      <c r="E37">
        <f>raw_check!M38</f>
        <v>3</v>
      </c>
      <c r="F37">
        <f>AVERAGE(raw_check!O38,raw_check!Q38,raw_check!U38)</f>
        <v>3.6666666666666665</v>
      </c>
      <c r="G37">
        <f>raw_check!R38</f>
        <v>5</v>
      </c>
      <c r="H37">
        <f>raw_check!S38</f>
        <v>4</v>
      </c>
      <c r="I37">
        <f>raw_check!V38</f>
        <v>5</v>
      </c>
      <c r="J37">
        <f>6-raw_check!W38</f>
        <v>3</v>
      </c>
      <c r="K37">
        <f>raw_check!Y38</f>
        <v>4</v>
      </c>
      <c r="L37">
        <f>raw_check!X38</f>
        <v>5</v>
      </c>
      <c r="M37">
        <f>raw_check!P38</f>
        <v>4</v>
      </c>
    </row>
    <row r="38" spans="1:13" x14ac:dyDescent="0.25">
      <c r="A38" t="s">
        <v>14</v>
      </c>
      <c r="B38" t="s">
        <v>106</v>
      </c>
      <c r="C38">
        <f>SUM(raw_check!C39,raw_check!E39,raw_check!G39,raw_check!I39,raw_check!K39)/5*100</f>
        <v>40</v>
      </c>
      <c r="D38">
        <f>AVEDEV(raw_check!D39,raw_check!F39,raw_check!H39,raw_check!J39,raw_check!L39)</f>
        <v>64.713840000000005</v>
      </c>
      <c r="E38">
        <f>raw_check!M39</f>
        <v>3</v>
      </c>
      <c r="F38">
        <f>AVERAGE(raw_check!O39,raw_check!Q39,raw_check!U39)</f>
        <v>2</v>
      </c>
      <c r="G38">
        <f>raw_check!R39</f>
        <v>2</v>
      </c>
      <c r="H38">
        <f>raw_check!S39</f>
        <v>2</v>
      </c>
      <c r="I38">
        <f>raw_check!V39</f>
        <v>5</v>
      </c>
      <c r="J38">
        <f>6-raw_check!W39</f>
        <v>3</v>
      </c>
      <c r="K38">
        <f>raw_check!Y39</f>
        <v>1</v>
      </c>
      <c r="L38">
        <f>raw_check!X39</f>
        <v>1</v>
      </c>
      <c r="M38">
        <f>raw_check!P39</f>
        <v>2</v>
      </c>
    </row>
    <row r="39" spans="1:13" x14ac:dyDescent="0.25">
      <c r="A39" t="s">
        <v>14</v>
      </c>
      <c r="B39" t="s">
        <v>107</v>
      </c>
      <c r="C39">
        <f>SUM(raw_check!C40,raw_check!E40,raw_check!G40,raw_check!I40,raw_check!K40)/5*100</f>
        <v>80</v>
      </c>
      <c r="D39">
        <f>AVEDEV(raw_check!D40,raw_check!F40,raw_check!H40,raw_check!J40,raw_check!L40)</f>
        <v>21.273999999999997</v>
      </c>
      <c r="E39">
        <f>raw_check!M40</f>
        <v>2</v>
      </c>
      <c r="F39">
        <f>AVERAGE(raw_check!O40,raw_check!Q40,raw_check!U40)</f>
        <v>4.333333333333333</v>
      </c>
      <c r="G39">
        <f>raw_check!R40</f>
        <v>5</v>
      </c>
      <c r="H39">
        <f>raw_check!S40</f>
        <v>4</v>
      </c>
      <c r="I39">
        <f>raw_check!V40</f>
        <v>5</v>
      </c>
      <c r="J39">
        <f>6-raw_check!W40</f>
        <v>1</v>
      </c>
      <c r="K39">
        <f>raw_check!Y40</f>
        <v>4</v>
      </c>
      <c r="L39">
        <f>raw_check!X40</f>
        <v>4</v>
      </c>
      <c r="M39">
        <f>raw_check!P40</f>
        <v>5</v>
      </c>
    </row>
    <row r="40" spans="1:13" x14ac:dyDescent="0.25">
      <c r="A40" t="s">
        <v>14</v>
      </c>
      <c r="B40" t="s">
        <v>108</v>
      </c>
      <c r="C40">
        <f>SUM(raw_check!C41,raw_check!E41,raw_check!G41,raw_check!I41,raw_check!K41)/5*100</f>
        <v>20</v>
      </c>
      <c r="D40">
        <f>AVEDEV(raw_check!D41,raw_check!F41,raw_check!H41,raw_check!J41,raw_check!L41)</f>
        <v>41.617280000000001</v>
      </c>
      <c r="E40">
        <f>raw_check!M41</f>
        <v>4</v>
      </c>
      <c r="F40">
        <f>AVERAGE(raw_check!O41,raw_check!Q41,raw_check!U41)</f>
        <v>4.333333333333333</v>
      </c>
      <c r="G40">
        <f>raw_check!R41</f>
        <v>4</v>
      </c>
      <c r="H40">
        <f>raw_check!S41</f>
        <v>4</v>
      </c>
      <c r="I40">
        <f>raw_check!V41</f>
        <v>5</v>
      </c>
      <c r="J40">
        <f>6-raw_check!W41</f>
        <v>2</v>
      </c>
      <c r="K40">
        <f>raw_check!Y41</f>
        <v>5</v>
      </c>
      <c r="L40">
        <f>raw_check!X41</f>
        <v>3</v>
      </c>
      <c r="M40">
        <f>raw_check!P41</f>
        <v>4</v>
      </c>
    </row>
    <row r="41" spans="1:13" x14ac:dyDescent="0.25">
      <c r="A41" t="s">
        <v>14</v>
      </c>
      <c r="B41" t="s">
        <v>109</v>
      </c>
      <c r="C41">
        <f>SUM(raw_check!C42,raw_check!E42,raw_check!G42,raw_check!I42,raw_check!K42)/5*100</f>
        <v>100</v>
      </c>
      <c r="D41">
        <f>AVEDEV(raw_check!D42,raw_check!F42,raw_check!H42,raw_check!J42,raw_check!L42)</f>
        <v>32.693359999999998</v>
      </c>
      <c r="E41">
        <f>raw_check!M42</f>
        <v>2</v>
      </c>
      <c r="F41">
        <f>AVERAGE(raw_check!O42,raw_check!Q42,raw_check!U42)</f>
        <v>3.6666666666666665</v>
      </c>
      <c r="G41">
        <f>raw_check!R42</f>
        <v>3</v>
      </c>
      <c r="H41">
        <f>raw_check!S42</f>
        <v>3</v>
      </c>
      <c r="I41">
        <f>raw_check!V42</f>
        <v>4</v>
      </c>
      <c r="J41">
        <f>6-raw_check!W42</f>
        <v>3</v>
      </c>
      <c r="K41">
        <f>raw_check!Y42</f>
        <v>4</v>
      </c>
      <c r="L41">
        <f>raw_check!X42</f>
        <v>4</v>
      </c>
      <c r="M41">
        <f>raw_check!P42</f>
        <v>3</v>
      </c>
    </row>
    <row r="42" spans="1:13" x14ac:dyDescent="0.25">
      <c r="A42" t="s">
        <v>14</v>
      </c>
      <c r="B42" t="s">
        <v>110</v>
      </c>
      <c r="C42">
        <f>SUM(raw_check!C43,raw_check!E43,raw_check!G43,raw_check!I43,raw_check!K43)/5*100</f>
        <v>60</v>
      </c>
      <c r="D42">
        <f>AVEDEV(raw_check!D43,raw_check!F43,raw_check!H43,raw_check!J43,raw_check!L43)</f>
        <v>80.298720000000003</v>
      </c>
      <c r="E42">
        <f>raw_check!M43</f>
        <v>4</v>
      </c>
      <c r="F42">
        <f>AVERAGE(raw_check!O43,raw_check!Q43,raw_check!U43)</f>
        <v>2.6666666666666665</v>
      </c>
      <c r="G42">
        <f>raw_check!R43</f>
        <v>2</v>
      </c>
      <c r="H42">
        <f>raw_check!S43</f>
        <v>2</v>
      </c>
      <c r="I42">
        <f>raw_check!V43</f>
        <v>4</v>
      </c>
      <c r="J42">
        <f>6-raw_check!W43</f>
        <v>4</v>
      </c>
      <c r="K42">
        <f>raw_check!Y43</f>
        <v>2</v>
      </c>
      <c r="L42">
        <f>raw_check!X43</f>
        <v>2</v>
      </c>
      <c r="M42">
        <f>raw_check!P43</f>
        <v>2</v>
      </c>
    </row>
    <row r="43" spans="1:13" x14ac:dyDescent="0.25">
      <c r="A43" t="s">
        <v>14</v>
      </c>
      <c r="B43" t="s">
        <v>111</v>
      </c>
      <c r="C43">
        <f>SUM(raw_check!C44,raw_check!E44,raw_check!G44,raw_check!I44,raw_check!K44)/5*100</f>
        <v>80</v>
      </c>
      <c r="D43">
        <f>AVEDEV(raw_check!D44,raw_check!F44,raw_check!H44,raw_check!J44,raw_check!L44)</f>
        <v>94.417200000000008</v>
      </c>
      <c r="E43">
        <f>raw_check!M44</f>
        <v>4</v>
      </c>
      <c r="F43">
        <f>AVERAGE(raw_check!O44,raw_check!Q44,raw_check!U44)</f>
        <v>2.3333333333333335</v>
      </c>
      <c r="G43">
        <f>raw_check!R44</f>
        <v>2</v>
      </c>
      <c r="H43">
        <f>raw_check!S44</f>
        <v>2</v>
      </c>
      <c r="I43">
        <f>raw_check!V44</f>
        <v>3</v>
      </c>
      <c r="J43">
        <f>6-raw_check!W44</f>
        <v>3</v>
      </c>
      <c r="K43">
        <f>raw_check!Y44</f>
        <v>2</v>
      </c>
      <c r="L43">
        <f>raw_check!X44</f>
        <v>2</v>
      </c>
      <c r="M43">
        <f>raw_check!P44</f>
        <v>3</v>
      </c>
    </row>
    <row r="44" spans="1:13" x14ac:dyDescent="0.25">
      <c r="A44" t="s">
        <v>14</v>
      </c>
      <c r="B44" t="s">
        <v>112</v>
      </c>
      <c r="C44">
        <f>SUM(raw_check!C45,raw_check!E45,raw_check!G45,raw_check!I45,raw_check!K45)/5*100</f>
        <v>100</v>
      </c>
      <c r="D44">
        <f>AVEDEV(raw_check!D45,raw_check!F45,raw_check!H45,raw_check!J45,raw_check!L45)</f>
        <v>27.05</v>
      </c>
      <c r="E44">
        <f>raw_check!M45</f>
        <v>3</v>
      </c>
      <c r="F44">
        <f>AVERAGE(raw_check!O45,raw_check!Q45,raw_check!U45)</f>
        <v>3.6666666666666665</v>
      </c>
      <c r="G44">
        <f>raw_check!R45</f>
        <v>3</v>
      </c>
      <c r="H44">
        <f>raw_check!S45</f>
        <v>3</v>
      </c>
      <c r="I44">
        <f>raw_check!V45</f>
        <v>4</v>
      </c>
      <c r="J44">
        <f>6-raw_check!W45</f>
        <v>3</v>
      </c>
      <c r="K44">
        <f>raw_check!Y45</f>
        <v>4</v>
      </c>
      <c r="L44">
        <f>raw_check!X45</f>
        <v>4</v>
      </c>
      <c r="M44">
        <f>raw_check!P45</f>
        <v>3</v>
      </c>
    </row>
    <row r="45" spans="1:13" x14ac:dyDescent="0.25">
      <c r="A45" t="s">
        <v>14</v>
      </c>
      <c r="B45" t="s">
        <v>113</v>
      </c>
      <c r="C45">
        <f>SUM(raw_check!C46,raw_check!E46,raw_check!G46,raw_check!I46,raw_check!K46)/5*100</f>
        <v>80</v>
      </c>
      <c r="D45">
        <f>AVEDEV(raw_check!D46,raw_check!F46,raw_check!H46,raw_check!J46,raw_check!L46)</f>
        <v>33.074079999999995</v>
      </c>
      <c r="E45">
        <f>raw_check!M46</f>
        <v>3</v>
      </c>
      <c r="F45">
        <f>AVERAGE(raw_check!O46,raw_check!Q46,raw_check!U46)</f>
        <v>2.6666666666666665</v>
      </c>
      <c r="G45">
        <f>raw_check!R46</f>
        <v>2</v>
      </c>
      <c r="H45">
        <f>raw_check!S46</f>
        <v>2</v>
      </c>
      <c r="I45">
        <f>raw_check!V46</f>
        <v>4</v>
      </c>
      <c r="J45">
        <f>6-raw_check!W46</f>
        <v>4</v>
      </c>
      <c r="K45">
        <f>raw_check!Y46</f>
        <v>2</v>
      </c>
      <c r="L45">
        <f>raw_check!X46</f>
        <v>2</v>
      </c>
      <c r="M45">
        <f>raw_check!P46</f>
        <v>2</v>
      </c>
    </row>
    <row r="46" spans="1:13" x14ac:dyDescent="0.25">
      <c r="A46" t="s">
        <v>14</v>
      </c>
      <c r="B46" t="s">
        <v>114</v>
      </c>
      <c r="C46">
        <f>SUM(raw_check!C47,raw_check!E47,raw_check!G47,raw_check!I47,raw_check!K47)/5*100</f>
        <v>80</v>
      </c>
      <c r="D46">
        <f>AVEDEV(raw_check!D47,raw_check!F47,raw_check!H47,raw_check!J47,raw_check!L47)</f>
        <v>36.475440000000006</v>
      </c>
      <c r="E46">
        <f>raw_check!M47</f>
        <v>2</v>
      </c>
      <c r="F46">
        <f>AVERAGE(raw_check!O47,raw_check!Q47,raw_check!U47)</f>
        <v>2.3333333333333335</v>
      </c>
      <c r="G46">
        <f>raw_check!R47</f>
        <v>2</v>
      </c>
      <c r="H46">
        <f>raw_check!S47</f>
        <v>2</v>
      </c>
      <c r="I46">
        <f>raw_check!V47</f>
        <v>3</v>
      </c>
      <c r="J46">
        <f>6-raw_check!W47</f>
        <v>3</v>
      </c>
      <c r="K46">
        <f>raw_check!Y47</f>
        <v>2</v>
      </c>
      <c r="L46">
        <f>raw_check!X47</f>
        <v>2</v>
      </c>
      <c r="M46">
        <f>raw_check!P47</f>
        <v>3</v>
      </c>
    </row>
    <row r="47" spans="1:13" x14ac:dyDescent="0.25">
      <c r="A47" t="s">
        <v>14</v>
      </c>
      <c r="B47" t="s">
        <v>143</v>
      </c>
      <c r="C47">
        <f>SUM(raw_check!C48,raw_check!E48,raw_check!G48,raw_check!I48,raw_check!K48)/5*100</f>
        <v>60</v>
      </c>
      <c r="D47">
        <f>AVEDEV(raw_check!D48,raw_check!F48,raw_check!H48,raw_check!J48,raw_check!L48)</f>
        <v>53.565280000000008</v>
      </c>
      <c r="E47">
        <f>raw_check!M48</f>
        <v>3</v>
      </c>
      <c r="F47">
        <f>AVERAGE(raw_check!O48,raw_check!Q48,raw_check!U48)</f>
        <v>4.333333333333333</v>
      </c>
      <c r="G47">
        <f>raw_check!R48</f>
        <v>5</v>
      </c>
      <c r="H47">
        <f>raw_check!S48</f>
        <v>4</v>
      </c>
      <c r="I47">
        <f>raw_check!V48</f>
        <v>5</v>
      </c>
      <c r="J47">
        <f>6-raw_check!W48</f>
        <v>1</v>
      </c>
      <c r="K47">
        <f>raw_check!Y48</f>
        <v>4</v>
      </c>
      <c r="L47">
        <f>raw_check!X48</f>
        <v>4</v>
      </c>
      <c r="M47">
        <f>raw_check!P48</f>
        <v>5</v>
      </c>
    </row>
    <row r="48" spans="1:13" x14ac:dyDescent="0.25">
      <c r="A48" t="s">
        <v>14</v>
      </c>
      <c r="B48" t="s">
        <v>144</v>
      </c>
      <c r="C48">
        <f>SUM(raw_check!C49,raw_check!E49,raw_check!G49,raw_check!I49,raw_check!K49)/5*100</f>
        <v>80</v>
      </c>
      <c r="D48">
        <f>AVEDEV(raw_check!D49,raw_check!F49,raw_check!H49,raw_check!J49,raw_check!L49)</f>
        <v>12.678000000000001</v>
      </c>
      <c r="E48">
        <f>raw_check!M49</f>
        <v>3</v>
      </c>
      <c r="F48">
        <f>AVERAGE(raw_check!O49,raw_check!Q49,raw_check!U49)</f>
        <v>2.3333333333333335</v>
      </c>
      <c r="G48">
        <f>raw_check!R49</f>
        <v>2</v>
      </c>
      <c r="H48">
        <f>raw_check!S49</f>
        <v>2</v>
      </c>
      <c r="I48">
        <f>raw_check!V49</f>
        <v>1</v>
      </c>
      <c r="J48">
        <f>6-raw_check!W49</f>
        <v>3</v>
      </c>
      <c r="K48">
        <f>raw_check!Y49</f>
        <v>1</v>
      </c>
      <c r="L48">
        <f>raw_check!X49</f>
        <v>1</v>
      </c>
      <c r="M48">
        <f>raw_check!P49</f>
        <v>1</v>
      </c>
    </row>
    <row r="49" spans="1:13" x14ac:dyDescent="0.25">
      <c r="A49" t="s">
        <v>15</v>
      </c>
      <c r="B49" t="s">
        <v>25</v>
      </c>
      <c r="C49">
        <f>SUM(raw_check!C50,raw_check!E50,raw_check!G50,raw_check!I50,raw_check!K50)/5*100</f>
        <v>80</v>
      </c>
      <c r="D49">
        <f>AVEDEV(raw_check!D50,raw_check!F50,raw_check!H50,raw_check!J50,raw_check!L50)</f>
        <v>26.897600000000001</v>
      </c>
      <c r="E49">
        <f>raw_check!M50</f>
        <v>1</v>
      </c>
      <c r="F49">
        <f>AVERAGE(raw_check!O50,raw_check!Q50,raw_check!U50)</f>
        <v>3</v>
      </c>
      <c r="G49">
        <f>raw_check!R50</f>
        <v>3</v>
      </c>
      <c r="H49">
        <f>raw_check!S50</f>
        <v>3</v>
      </c>
      <c r="I49">
        <f>raw_check!V50</f>
        <v>3</v>
      </c>
      <c r="J49">
        <f>6-raw_check!W50</f>
        <v>3</v>
      </c>
      <c r="K49">
        <f>raw_check!Y50</f>
        <v>3</v>
      </c>
      <c r="L49">
        <f>raw_check!X50</f>
        <v>3</v>
      </c>
      <c r="M49">
        <f>raw_check!P50</f>
        <v>3</v>
      </c>
    </row>
    <row r="50" spans="1:13" x14ac:dyDescent="0.25">
      <c r="A50" t="s">
        <v>15</v>
      </c>
      <c r="B50" t="s">
        <v>26</v>
      </c>
      <c r="C50">
        <f>SUM(raw_check!C51,raw_check!E51,raw_check!G51,raw_check!I51,raw_check!K51)/5*100</f>
        <v>60</v>
      </c>
      <c r="D50">
        <f>AVEDEV(raw_check!D51,raw_check!F51,raw_check!H51,raw_check!J51,raw_check!L51)</f>
        <v>38.503279999999997</v>
      </c>
      <c r="E50">
        <f>raw_check!M51</f>
        <v>4</v>
      </c>
      <c r="F50">
        <f>AVERAGE(raw_check!O51,raw_check!Q51,raw_check!U51)</f>
        <v>3.6666666666666665</v>
      </c>
      <c r="G50">
        <f>raw_check!R51</f>
        <v>4</v>
      </c>
      <c r="H50">
        <f>raw_check!S51</f>
        <v>4</v>
      </c>
      <c r="I50">
        <f>raw_check!V51</f>
        <v>5</v>
      </c>
      <c r="J50">
        <f>6-raw_check!W51</f>
        <v>2</v>
      </c>
      <c r="K50">
        <f>raw_check!Y51</f>
        <v>5</v>
      </c>
      <c r="L50">
        <f>raw_check!X51</f>
        <v>5</v>
      </c>
      <c r="M50">
        <f>raw_check!P51</f>
        <v>5</v>
      </c>
    </row>
    <row r="51" spans="1:13" x14ac:dyDescent="0.25">
      <c r="A51" t="s">
        <v>15</v>
      </c>
      <c r="B51" t="s">
        <v>27</v>
      </c>
      <c r="C51">
        <f>SUM(raw_check!C52,raw_check!E52,raw_check!G52,raw_check!I52,raw_check!K52)/5*100</f>
        <v>100</v>
      </c>
      <c r="D51">
        <f>AVEDEV(raw_check!D52,raw_check!F52,raw_check!H52,raw_check!J52,raw_check!L52)</f>
        <v>9.2385599999999979</v>
      </c>
      <c r="E51">
        <f>raw_check!M52</f>
        <v>4</v>
      </c>
      <c r="F51">
        <f>AVERAGE(raw_check!O52,raw_check!Q52,raw_check!U52)</f>
        <v>4</v>
      </c>
      <c r="G51">
        <f>raw_check!R52</f>
        <v>5</v>
      </c>
      <c r="H51">
        <f>raw_check!S52</f>
        <v>5</v>
      </c>
      <c r="I51">
        <f>raw_check!V52</f>
        <v>4</v>
      </c>
      <c r="J51">
        <f>6-raw_check!W52</f>
        <v>1</v>
      </c>
      <c r="K51">
        <f>raw_check!Y52</f>
        <v>4</v>
      </c>
      <c r="L51">
        <f>raw_check!X52</f>
        <v>5</v>
      </c>
      <c r="M51">
        <f>raw_check!P52</f>
        <v>5</v>
      </c>
    </row>
    <row r="52" spans="1:13" x14ac:dyDescent="0.25">
      <c r="A52" t="s">
        <v>15</v>
      </c>
      <c r="B52" t="s">
        <v>28</v>
      </c>
      <c r="C52">
        <f>SUM(raw_check!C53,raw_check!E53,raw_check!G53,raw_check!I53,raw_check!K53)/5*100</f>
        <v>100</v>
      </c>
      <c r="D52">
        <f>AVEDEV(raw_check!D53,raw_check!F53,raw_check!H53,raw_check!J53,raw_check!L53)</f>
        <v>11.56432</v>
      </c>
      <c r="E52">
        <f>raw_check!M53</f>
        <v>5</v>
      </c>
      <c r="F52">
        <f>AVERAGE(raw_check!O53,raw_check!Q53,raw_check!U53)</f>
        <v>3.3333333333333335</v>
      </c>
      <c r="G52">
        <f>raw_check!R53</f>
        <v>5</v>
      </c>
      <c r="H52">
        <f>raw_check!S53</f>
        <v>4</v>
      </c>
      <c r="I52">
        <f>raw_check!V53</f>
        <v>5</v>
      </c>
      <c r="J52">
        <f>6-raw_check!W53</f>
        <v>4</v>
      </c>
      <c r="K52">
        <f>raw_check!Y53</f>
        <v>4</v>
      </c>
      <c r="L52">
        <f>raw_check!X53</f>
        <v>3</v>
      </c>
      <c r="M52">
        <f>raw_check!P53</f>
        <v>2</v>
      </c>
    </row>
    <row r="53" spans="1:13" x14ac:dyDescent="0.25">
      <c r="A53" t="s">
        <v>15</v>
      </c>
      <c r="B53" t="s">
        <v>29</v>
      </c>
      <c r="C53">
        <f>SUM(raw_check!C54,raw_check!E54,raw_check!G54,raw_check!I54,raw_check!K54)/5*100</f>
        <v>80</v>
      </c>
      <c r="D53">
        <f>AVEDEV(raw_check!D54,raw_check!F54,raw_check!H54,raw_check!J54,raw_check!L54)</f>
        <v>20.480160000000001</v>
      </c>
      <c r="E53">
        <f>raw_check!M54</f>
        <v>4</v>
      </c>
      <c r="F53">
        <f>AVERAGE(raw_check!O54,raw_check!Q54,raw_check!U54)</f>
        <v>3.6666666666666665</v>
      </c>
      <c r="G53">
        <f>raw_check!R54</f>
        <v>5</v>
      </c>
      <c r="H53">
        <f>raw_check!S54</f>
        <v>4</v>
      </c>
      <c r="I53">
        <f>raw_check!V54</f>
        <v>5</v>
      </c>
      <c r="J53">
        <f>6-raw_check!W54</f>
        <v>1</v>
      </c>
      <c r="K53">
        <f>raw_check!Y54</f>
        <v>5</v>
      </c>
      <c r="L53">
        <f>raw_check!X54</f>
        <v>5</v>
      </c>
      <c r="M53">
        <f>raw_check!P54</f>
        <v>4</v>
      </c>
    </row>
    <row r="54" spans="1:13" x14ac:dyDescent="0.25">
      <c r="A54" t="s">
        <v>15</v>
      </c>
      <c r="B54" t="s">
        <v>30</v>
      </c>
      <c r="C54">
        <f>SUM(raw_check!C55,raw_check!E55,raw_check!G55,raw_check!I55,raw_check!K55)/5*100</f>
        <v>100</v>
      </c>
      <c r="D54">
        <f>AVEDEV(raw_check!D55,raw_check!F55,raw_check!H55,raw_check!J55,raw_check!L55)</f>
        <v>14.80528</v>
      </c>
      <c r="E54">
        <f>raw_check!M55</f>
        <v>4</v>
      </c>
      <c r="F54">
        <f>AVERAGE(raw_check!O55,raw_check!Q55,raw_check!U55)</f>
        <v>2.3333333333333335</v>
      </c>
      <c r="G54">
        <f>raw_check!R55</f>
        <v>3</v>
      </c>
      <c r="H54">
        <f>raw_check!S55</f>
        <v>4</v>
      </c>
      <c r="I54">
        <f>raw_check!V55</f>
        <v>4</v>
      </c>
      <c r="J54">
        <f>6-raw_check!W55</f>
        <v>2</v>
      </c>
      <c r="K54">
        <f>raw_check!Y55</f>
        <v>3</v>
      </c>
      <c r="L54">
        <f>raw_check!X55</f>
        <v>2</v>
      </c>
      <c r="M54">
        <f>raw_check!P55</f>
        <v>3</v>
      </c>
    </row>
    <row r="55" spans="1:13" x14ac:dyDescent="0.25">
      <c r="A55" t="s">
        <v>15</v>
      </c>
      <c r="B55" t="s">
        <v>31</v>
      </c>
      <c r="C55">
        <f>SUM(raw_check!C56,raw_check!E56,raw_check!G56,raw_check!I56,raw_check!K56)/5*100</f>
        <v>80</v>
      </c>
      <c r="D55">
        <f>AVEDEV(raw_check!D56,raw_check!F56,raw_check!H56,raw_check!J56,raw_check!L56)</f>
        <v>20.505119999999998</v>
      </c>
      <c r="E55">
        <f>raw_check!M56</f>
        <v>4</v>
      </c>
      <c r="F55">
        <f>AVERAGE(raw_check!O56,raw_check!Q56,raw_check!U56)</f>
        <v>2.6666666666666665</v>
      </c>
      <c r="G55">
        <f>raw_check!R56</f>
        <v>3</v>
      </c>
      <c r="H55">
        <f>raw_check!S56</f>
        <v>4</v>
      </c>
      <c r="I55">
        <f>raw_check!V56</f>
        <v>4</v>
      </c>
      <c r="J55">
        <f>6-raw_check!W56</f>
        <v>2</v>
      </c>
      <c r="K55">
        <f>raw_check!Y56</f>
        <v>4</v>
      </c>
      <c r="L55">
        <f>raw_check!X56</f>
        <v>4</v>
      </c>
      <c r="M55">
        <f>raw_check!P56</f>
        <v>2</v>
      </c>
    </row>
    <row r="56" spans="1:13" x14ac:dyDescent="0.25">
      <c r="A56" t="s">
        <v>15</v>
      </c>
      <c r="B56" t="s">
        <v>32</v>
      </c>
      <c r="C56">
        <f>SUM(raw_check!C57,raw_check!E57,raw_check!G57,raw_check!I57,raw_check!K57)/5*100</f>
        <v>80</v>
      </c>
      <c r="D56">
        <f>AVEDEV(raw_check!D57,raw_check!F57,raw_check!H57,raw_check!J57,raw_check!L57)</f>
        <v>21.372080000000004</v>
      </c>
      <c r="E56">
        <f>raw_check!M57</f>
        <v>3</v>
      </c>
      <c r="F56">
        <f>AVERAGE(raw_check!O57,raw_check!Q57,raw_check!U57)</f>
        <v>4.666666666666667</v>
      </c>
      <c r="G56">
        <f>raw_check!R57</f>
        <v>5</v>
      </c>
      <c r="H56">
        <f>raw_check!S57</f>
        <v>4</v>
      </c>
      <c r="I56">
        <f>raw_check!V57</f>
        <v>5</v>
      </c>
      <c r="J56">
        <f>6-raw_check!W57</f>
        <v>2</v>
      </c>
      <c r="K56">
        <f>raw_check!Y57</f>
        <v>5</v>
      </c>
      <c r="L56">
        <f>raw_check!X57</f>
        <v>5</v>
      </c>
      <c r="M56">
        <f>raw_check!P57</f>
        <v>5</v>
      </c>
    </row>
    <row r="57" spans="1:13" x14ac:dyDescent="0.25">
      <c r="A57" t="s">
        <v>15</v>
      </c>
      <c r="B57" t="s">
        <v>33</v>
      </c>
      <c r="C57">
        <f>SUM(raw_check!C58,raw_check!E58,raw_check!G58,raw_check!I58,raw_check!K58)/5*100</f>
        <v>80</v>
      </c>
      <c r="D57">
        <f>AVEDEV(raw_check!D58,raw_check!F58,raw_check!H58,raw_check!J58,raw_check!L58)</f>
        <v>9.5847999999999995</v>
      </c>
      <c r="E57">
        <f>raw_check!M58</f>
        <v>3</v>
      </c>
      <c r="F57">
        <f>AVERAGE(raw_check!O58,raw_check!Q58,raw_check!U58)</f>
        <v>4.666666666666667</v>
      </c>
      <c r="G57">
        <f>raw_check!R58</f>
        <v>4</v>
      </c>
      <c r="H57">
        <f>raw_check!S58</f>
        <v>3</v>
      </c>
      <c r="I57">
        <f>raw_check!V58</f>
        <v>5</v>
      </c>
      <c r="J57">
        <f>6-raw_check!W58</f>
        <v>3</v>
      </c>
      <c r="K57">
        <f>raw_check!Y58</f>
        <v>4</v>
      </c>
      <c r="L57">
        <f>raw_check!X58</f>
        <v>4</v>
      </c>
      <c r="M57">
        <f>raw_check!P58</f>
        <v>5</v>
      </c>
    </row>
    <row r="58" spans="1:13" x14ac:dyDescent="0.25">
      <c r="A58" t="s">
        <v>15</v>
      </c>
      <c r="B58" t="s">
        <v>34</v>
      </c>
      <c r="C58">
        <f>SUM(raw_check!C59,raw_check!E59,raw_check!G59,raw_check!I59,raw_check!K59)/5*100</f>
        <v>80</v>
      </c>
      <c r="D58">
        <f>AVEDEV(raw_check!D59,raw_check!F59,raw_check!H59,raw_check!J59,raw_check!L59)</f>
        <v>24.551520000000004</v>
      </c>
      <c r="E58">
        <f>raw_check!M59</f>
        <v>3</v>
      </c>
      <c r="F58">
        <f>AVERAGE(raw_check!O59,raw_check!Q59,raw_check!U59)</f>
        <v>4</v>
      </c>
      <c r="G58">
        <f>raw_check!R59</f>
        <v>4</v>
      </c>
      <c r="H58">
        <f>raw_check!S59</f>
        <v>5</v>
      </c>
      <c r="I58">
        <f>raw_check!V59</f>
        <v>5</v>
      </c>
      <c r="J58">
        <f>6-raw_check!W59</f>
        <v>2</v>
      </c>
      <c r="K58">
        <f>raw_check!Y59</f>
        <v>4</v>
      </c>
      <c r="L58">
        <f>raw_check!X59</f>
        <v>4</v>
      </c>
      <c r="M58">
        <f>raw_check!P59</f>
        <v>5</v>
      </c>
    </row>
    <row r="59" spans="1:13" x14ac:dyDescent="0.25">
      <c r="A59" t="s">
        <v>15</v>
      </c>
      <c r="B59" t="s">
        <v>35</v>
      </c>
      <c r="C59">
        <f>SUM(raw_check!C60,raw_check!E60,raw_check!G60,raw_check!I60,raw_check!K60)/5*100</f>
        <v>80</v>
      </c>
      <c r="D59">
        <f>AVEDEV(raw_check!D60,raw_check!F60,raw_check!H60,raw_check!J60,raw_check!L60)</f>
        <v>21.399039999999996</v>
      </c>
      <c r="E59">
        <f>raw_check!M60</f>
        <v>4</v>
      </c>
      <c r="F59">
        <f>AVERAGE(raw_check!O60,raw_check!Q60,raw_check!U60)</f>
        <v>2.6666666666666665</v>
      </c>
      <c r="G59">
        <f>raw_check!R60</f>
        <v>3</v>
      </c>
      <c r="H59">
        <f>raw_check!S60</f>
        <v>4</v>
      </c>
      <c r="I59">
        <f>raw_check!V60</f>
        <v>5</v>
      </c>
      <c r="J59">
        <f>6-raw_check!W60</f>
        <v>2</v>
      </c>
      <c r="K59">
        <f>raw_check!Y60</f>
        <v>5</v>
      </c>
      <c r="L59">
        <f>raw_check!X60</f>
        <v>4</v>
      </c>
      <c r="M59">
        <f>raw_check!P60</f>
        <v>4</v>
      </c>
    </row>
    <row r="60" spans="1:13" x14ac:dyDescent="0.25">
      <c r="A60" t="s">
        <v>15</v>
      </c>
      <c r="B60" t="s">
        <v>36</v>
      </c>
      <c r="C60">
        <f>SUM(raw_check!C61,raw_check!E61,raw_check!G61,raw_check!I61,raw_check!K61)/5*100</f>
        <v>100</v>
      </c>
      <c r="D60">
        <f>AVEDEV(raw_check!D61,raw_check!F61,raw_check!H61,raw_check!J61,raw_check!L61)</f>
        <v>23.13664</v>
      </c>
      <c r="E60">
        <f>raw_check!M61</f>
        <v>3</v>
      </c>
      <c r="F60">
        <f>AVERAGE(raw_check!O61,raw_check!Q61,raw_check!U61)</f>
        <v>3.3333333333333335</v>
      </c>
      <c r="G60">
        <f>raw_check!R61</f>
        <v>5</v>
      </c>
      <c r="H60">
        <f>raw_check!S61</f>
        <v>4</v>
      </c>
      <c r="I60">
        <f>raw_check!V61</f>
        <v>5</v>
      </c>
      <c r="J60">
        <f>6-raw_check!W61</f>
        <v>2</v>
      </c>
      <c r="K60">
        <f>raw_check!Y61</f>
        <v>5</v>
      </c>
      <c r="L60">
        <f>raw_check!X61</f>
        <v>4</v>
      </c>
      <c r="M60">
        <f>raw_check!P61</f>
        <v>3</v>
      </c>
    </row>
    <row r="61" spans="1:13" x14ac:dyDescent="0.25">
      <c r="A61" t="s">
        <v>15</v>
      </c>
      <c r="B61" t="s">
        <v>37</v>
      </c>
      <c r="C61">
        <f>SUM(raw_check!C62,raw_check!E62,raw_check!G62,raw_check!I62,raw_check!K62)/5*100</f>
        <v>100</v>
      </c>
      <c r="D61">
        <f>AVEDEV(raw_check!D62,raw_check!F62,raw_check!H62,raw_check!J62,raw_check!L62)</f>
        <v>41.028960000000005</v>
      </c>
      <c r="E61">
        <f>raw_check!M62</f>
        <v>4</v>
      </c>
      <c r="F61">
        <f>AVERAGE(raw_check!O62,raw_check!Q62,raw_check!U62)</f>
        <v>3.3333333333333335</v>
      </c>
      <c r="G61">
        <f>raw_check!R62</f>
        <v>4</v>
      </c>
      <c r="H61">
        <f>raw_check!S62</f>
        <v>4</v>
      </c>
      <c r="I61">
        <f>raw_check!V62</f>
        <v>5</v>
      </c>
      <c r="J61">
        <f>6-raw_check!W62</f>
        <v>3</v>
      </c>
      <c r="K61">
        <f>raw_check!Y62</f>
        <v>5</v>
      </c>
      <c r="L61">
        <f>raw_check!X62</f>
        <v>4</v>
      </c>
      <c r="M61">
        <f>raw_check!P62</f>
        <v>3</v>
      </c>
    </row>
    <row r="62" spans="1:13" x14ac:dyDescent="0.25">
      <c r="A62" t="s">
        <v>15</v>
      </c>
      <c r="B62" t="s">
        <v>38</v>
      </c>
      <c r="C62">
        <f>SUM(raw_check!C63,raw_check!E63,raw_check!G63,raw_check!I63,raw_check!K63)/5*100</f>
        <v>100</v>
      </c>
      <c r="D62">
        <f>AVEDEV(raw_check!D63,raw_check!F63,raw_check!H63,raw_check!J63,raw_check!L63)</f>
        <v>22.52384</v>
      </c>
      <c r="E62">
        <f>raw_check!M63</f>
        <v>4</v>
      </c>
      <c r="F62">
        <f>AVERAGE(raw_check!O63,raw_check!Q63,raw_check!U63)</f>
        <v>3</v>
      </c>
      <c r="G62">
        <f>raw_check!R63</f>
        <v>3</v>
      </c>
      <c r="H62">
        <f>raw_check!S63</f>
        <v>3</v>
      </c>
      <c r="I62">
        <f>raw_check!V63</f>
        <v>4</v>
      </c>
      <c r="J62">
        <f>6-raw_check!W63</f>
        <v>2</v>
      </c>
      <c r="K62">
        <f>raw_check!Y63</f>
        <v>4</v>
      </c>
      <c r="L62">
        <f>raw_check!X63</f>
        <v>3</v>
      </c>
      <c r="M62">
        <f>raw_check!P63</f>
        <v>4</v>
      </c>
    </row>
    <row r="63" spans="1:13" x14ac:dyDescent="0.25">
      <c r="A63" t="s">
        <v>15</v>
      </c>
      <c r="B63" t="s">
        <v>39</v>
      </c>
      <c r="C63">
        <f>SUM(raw_check!C64,raw_check!E64,raw_check!G64,raw_check!I64,raw_check!K64)/5*100</f>
        <v>80</v>
      </c>
      <c r="D63">
        <f>AVEDEV(raw_check!D64,raw_check!F64,raw_check!H64,raw_check!J64,raw_check!L64)</f>
        <v>30.444800000000004</v>
      </c>
      <c r="E63">
        <f>raw_check!M64</f>
        <v>4</v>
      </c>
      <c r="F63">
        <f>AVERAGE(raw_check!O64,raw_check!Q64,raw_check!U64)</f>
        <v>4.333333333333333</v>
      </c>
      <c r="G63">
        <f>raw_check!R64</f>
        <v>5</v>
      </c>
      <c r="H63">
        <f>raw_check!S64</f>
        <v>4</v>
      </c>
      <c r="I63">
        <f>raw_check!V64</f>
        <v>5</v>
      </c>
      <c r="J63">
        <f>6-raw_check!W64</f>
        <v>3</v>
      </c>
      <c r="K63">
        <f>raw_check!Y64</f>
        <v>4</v>
      </c>
      <c r="L63">
        <f>raw_check!X64</f>
        <v>4</v>
      </c>
      <c r="M63">
        <f>raw_check!P64</f>
        <v>4</v>
      </c>
    </row>
    <row r="64" spans="1:13" x14ac:dyDescent="0.25">
      <c r="A64" t="s">
        <v>15</v>
      </c>
      <c r="B64" t="s">
        <v>40</v>
      </c>
      <c r="C64">
        <f>SUM(raw_check!C65,raw_check!E65,raw_check!G65,raw_check!I65,raw_check!K65)/5*100</f>
        <v>80</v>
      </c>
      <c r="D64">
        <f>AVEDEV(raw_check!D65,raw_check!F65,raw_check!H65,raw_check!J65,raw_check!L65)</f>
        <v>15.69192</v>
      </c>
      <c r="E64">
        <f>raw_check!M65</f>
        <v>3</v>
      </c>
      <c r="F64">
        <f>AVERAGE(raw_check!O65,raw_check!Q65,raw_check!U65)</f>
        <v>4</v>
      </c>
      <c r="G64">
        <f>raw_check!R65</f>
        <v>4</v>
      </c>
      <c r="H64">
        <f>raw_check!S65</f>
        <v>3</v>
      </c>
      <c r="I64">
        <f>raw_check!V65</f>
        <v>4</v>
      </c>
      <c r="J64">
        <f>6-raw_check!W65</f>
        <v>3</v>
      </c>
      <c r="K64">
        <f>raw_check!Y65</f>
        <v>4</v>
      </c>
      <c r="L64">
        <f>raw_check!X65</f>
        <v>3</v>
      </c>
      <c r="M64">
        <f>raw_check!P65</f>
        <v>3</v>
      </c>
    </row>
    <row r="65" spans="1:13" x14ac:dyDescent="0.25">
      <c r="A65" t="s">
        <v>15</v>
      </c>
      <c r="B65" t="s">
        <v>41</v>
      </c>
      <c r="C65">
        <f>SUM(raw_check!C66,raw_check!E66,raw_check!G66,raw_check!I66,raw_check!K66)/5*100</f>
        <v>100</v>
      </c>
      <c r="D65">
        <f>AVEDEV(raw_check!D66,raw_check!F66,raw_check!H66,raw_check!J66,raw_check!L66)</f>
        <v>47.284319999999994</v>
      </c>
      <c r="E65">
        <f>raw_check!M66</f>
        <v>4</v>
      </c>
      <c r="F65">
        <f>AVERAGE(raw_check!O66,raw_check!Q66,raw_check!U66)</f>
        <v>4.666666666666667</v>
      </c>
      <c r="G65">
        <f>raw_check!R66</f>
        <v>5</v>
      </c>
      <c r="H65">
        <f>raw_check!S66</f>
        <v>4</v>
      </c>
      <c r="I65">
        <f>raw_check!V66</f>
        <v>5</v>
      </c>
      <c r="J65">
        <f>6-raw_check!W66</f>
        <v>2</v>
      </c>
      <c r="K65">
        <f>raw_check!Y66</f>
        <v>4</v>
      </c>
      <c r="L65">
        <f>raw_check!X66</f>
        <v>4</v>
      </c>
      <c r="M65">
        <f>raw_check!P66</f>
        <v>5</v>
      </c>
    </row>
    <row r="66" spans="1:13" x14ac:dyDescent="0.25">
      <c r="A66" t="s">
        <v>15</v>
      </c>
      <c r="B66" t="s">
        <v>42</v>
      </c>
      <c r="C66">
        <f>SUM(raw_check!C67,raw_check!E67,raw_check!G67,raw_check!I67,raw_check!K67)/5*100</f>
        <v>100</v>
      </c>
      <c r="D66">
        <f>AVEDEV(raw_check!D67,raw_check!F67,raw_check!H67,raw_check!J67,raw_check!L67)</f>
        <v>61.984799999999993</v>
      </c>
      <c r="E66">
        <f>raw_check!M67</f>
        <v>4</v>
      </c>
      <c r="F66">
        <f>AVERAGE(raw_check!O67,raw_check!Q67,raw_check!U67)</f>
        <v>3.6666666666666665</v>
      </c>
      <c r="G66">
        <f>raw_check!R67</f>
        <v>4</v>
      </c>
      <c r="H66">
        <f>raw_check!S67</f>
        <v>3</v>
      </c>
      <c r="I66">
        <f>raw_check!V67</f>
        <v>4</v>
      </c>
      <c r="J66">
        <f>6-raw_check!W67</f>
        <v>3</v>
      </c>
      <c r="K66">
        <f>raw_check!Y67</f>
        <v>4</v>
      </c>
      <c r="L66">
        <f>raw_check!X67</f>
        <v>4</v>
      </c>
      <c r="M66">
        <f>raw_check!P67</f>
        <v>4</v>
      </c>
    </row>
    <row r="67" spans="1:13" x14ac:dyDescent="0.25">
      <c r="A67" t="s">
        <v>15</v>
      </c>
      <c r="B67" t="s">
        <v>115</v>
      </c>
      <c r="C67">
        <f>SUM(raw_check!C68,raw_check!E68,raw_check!G68,raw_check!I68,raw_check!K68)/5*100</f>
        <v>80</v>
      </c>
      <c r="D67">
        <f>AVEDEV(raw_check!D68,raw_check!F68,raw_check!H68,raw_check!J68,raw_check!L68)</f>
        <v>24.461759999999998</v>
      </c>
      <c r="E67">
        <f>raw_check!M68</f>
        <v>4</v>
      </c>
      <c r="F67">
        <f>AVERAGE(raw_check!O68,raw_check!Q68,raw_check!U68)</f>
        <v>3</v>
      </c>
      <c r="G67">
        <f>raw_check!R68</f>
        <v>3</v>
      </c>
      <c r="H67">
        <f>raw_check!S68</f>
        <v>3</v>
      </c>
      <c r="I67">
        <f>raw_check!V68</f>
        <v>3</v>
      </c>
      <c r="J67">
        <f>6-raw_check!W68</f>
        <v>3</v>
      </c>
      <c r="K67">
        <f>raw_check!Y68</f>
        <v>3</v>
      </c>
      <c r="L67">
        <f>raw_check!X68</f>
        <v>3</v>
      </c>
      <c r="M67">
        <f>raw_check!P68</f>
        <v>3</v>
      </c>
    </row>
    <row r="68" spans="1:13" x14ac:dyDescent="0.25">
      <c r="A68" t="s">
        <v>15</v>
      </c>
      <c r="B68" t="s">
        <v>116</v>
      </c>
      <c r="C68">
        <f>SUM(raw_check!C69,raw_check!E69,raw_check!G69,raw_check!I69,raw_check!K69)/5*100</f>
        <v>60</v>
      </c>
      <c r="D68">
        <f>AVEDEV(raw_check!D69,raw_check!F69,raw_check!H69,raw_check!J69,raw_check!L69)</f>
        <v>45.737840000000006</v>
      </c>
      <c r="E68">
        <f>raw_check!M69</f>
        <v>4</v>
      </c>
      <c r="F68">
        <f>AVERAGE(raw_check!O69,raw_check!Q69,raw_check!U69)</f>
        <v>3.6666666666666665</v>
      </c>
      <c r="G68">
        <f>raw_check!R69</f>
        <v>4</v>
      </c>
      <c r="H68">
        <f>raw_check!S69</f>
        <v>4</v>
      </c>
      <c r="I68">
        <f>raw_check!V69</f>
        <v>5</v>
      </c>
      <c r="J68">
        <f>6-raw_check!W69</f>
        <v>2</v>
      </c>
      <c r="K68">
        <f>raw_check!Y69</f>
        <v>5</v>
      </c>
      <c r="L68">
        <f>raw_check!X69</f>
        <v>5</v>
      </c>
      <c r="M68">
        <f>raw_check!P69</f>
        <v>5</v>
      </c>
    </row>
    <row r="69" spans="1:13" x14ac:dyDescent="0.25">
      <c r="A69" t="s">
        <v>15</v>
      </c>
      <c r="B69" t="s">
        <v>117</v>
      </c>
      <c r="C69">
        <f>SUM(raw_check!C70,raw_check!E70,raw_check!G70,raw_check!I70,raw_check!K70)/5*100</f>
        <v>100</v>
      </c>
      <c r="D69">
        <f>AVEDEV(raw_check!D70,raw_check!F70,raw_check!H70,raw_check!J70,raw_check!L70)</f>
        <v>29.75648</v>
      </c>
      <c r="E69">
        <f>raw_check!M70</f>
        <v>4</v>
      </c>
      <c r="F69">
        <f>AVERAGE(raw_check!O70,raw_check!Q70,raw_check!U70)</f>
        <v>4</v>
      </c>
      <c r="G69">
        <f>raw_check!R70</f>
        <v>5</v>
      </c>
      <c r="H69">
        <f>raw_check!S70</f>
        <v>5</v>
      </c>
      <c r="I69">
        <f>raw_check!V70</f>
        <v>4</v>
      </c>
      <c r="J69">
        <f>6-raw_check!W70</f>
        <v>1</v>
      </c>
      <c r="K69">
        <f>raw_check!Y70</f>
        <v>4</v>
      </c>
      <c r="L69">
        <f>raw_check!X70</f>
        <v>5</v>
      </c>
      <c r="M69">
        <f>raw_check!P70</f>
        <v>5</v>
      </c>
    </row>
    <row r="70" spans="1:13" x14ac:dyDescent="0.25">
      <c r="A70" t="s">
        <v>15</v>
      </c>
      <c r="B70" t="s">
        <v>118</v>
      </c>
      <c r="C70">
        <f>SUM(raw_check!C71,raw_check!E71,raw_check!G71,raw_check!I71,raw_check!K71)/5*100</f>
        <v>100</v>
      </c>
      <c r="D70">
        <f>AVEDEV(raw_check!D71,raw_check!F71,raw_check!H71,raw_check!J71,raw_check!L71)</f>
        <v>36.825599999999994</v>
      </c>
      <c r="E70">
        <f>raw_check!M71</f>
        <v>5</v>
      </c>
      <c r="F70">
        <f>AVERAGE(raw_check!O71,raw_check!Q71,raw_check!U71)</f>
        <v>3.3333333333333335</v>
      </c>
      <c r="G70">
        <f>raw_check!R71</f>
        <v>5</v>
      </c>
      <c r="H70">
        <f>raw_check!S71</f>
        <v>4</v>
      </c>
      <c r="I70">
        <f>raw_check!V71</f>
        <v>5</v>
      </c>
      <c r="J70">
        <f>6-raw_check!W71</f>
        <v>4</v>
      </c>
      <c r="K70">
        <f>raw_check!Y71</f>
        <v>4</v>
      </c>
      <c r="L70">
        <f>raw_check!X71</f>
        <v>3</v>
      </c>
      <c r="M70">
        <f>raw_check!P71</f>
        <v>2</v>
      </c>
    </row>
    <row r="71" spans="1:13" x14ac:dyDescent="0.25">
      <c r="A71" t="s">
        <v>15</v>
      </c>
      <c r="B71" t="s">
        <v>119</v>
      </c>
      <c r="C71">
        <f>SUM(raw_check!C72,raw_check!E72,raw_check!G72,raw_check!I72,raw_check!K72)/5*100</f>
        <v>80</v>
      </c>
      <c r="D71">
        <f>AVEDEV(raw_check!D72,raw_check!F72,raw_check!H72,raw_check!J72,raw_check!L72)</f>
        <v>56.802880000000002</v>
      </c>
      <c r="E71">
        <f>raw_check!M72</f>
        <v>4</v>
      </c>
      <c r="F71">
        <f>AVERAGE(raw_check!O72,raw_check!Q72,raw_check!U72)</f>
        <v>3.6666666666666665</v>
      </c>
      <c r="G71">
        <f>raw_check!R72</f>
        <v>5</v>
      </c>
      <c r="H71">
        <f>raw_check!S72</f>
        <v>4</v>
      </c>
      <c r="I71">
        <f>raw_check!V72</f>
        <v>5</v>
      </c>
      <c r="J71">
        <f>6-raw_check!W72</f>
        <v>1</v>
      </c>
      <c r="K71">
        <f>raw_check!Y72</f>
        <v>5</v>
      </c>
      <c r="L71">
        <f>raw_check!X72</f>
        <v>5</v>
      </c>
      <c r="M71">
        <f>raw_check!P72</f>
        <v>4</v>
      </c>
    </row>
    <row r="72" spans="1:13" x14ac:dyDescent="0.25">
      <c r="A72" t="s">
        <v>15</v>
      </c>
      <c r="B72" t="s">
        <v>120</v>
      </c>
      <c r="C72">
        <f>SUM(raw_check!C73,raw_check!E73,raw_check!G73,raw_check!I73,raw_check!K73)/5*100</f>
        <v>100</v>
      </c>
      <c r="D72">
        <f>AVEDEV(raw_check!D73,raw_check!F73,raw_check!H73,raw_check!J73,raw_check!L73)</f>
        <v>12.011440000000002</v>
      </c>
      <c r="E72">
        <f>raw_check!M73</f>
        <v>4</v>
      </c>
      <c r="F72">
        <f>AVERAGE(raw_check!O73,raw_check!Q73,raw_check!U73)</f>
        <v>3</v>
      </c>
      <c r="G72">
        <f>raw_check!R73</f>
        <v>3</v>
      </c>
      <c r="H72">
        <f>raw_check!S73</f>
        <v>3</v>
      </c>
      <c r="I72">
        <f>raw_check!V73</f>
        <v>3</v>
      </c>
      <c r="J72">
        <f>6-raw_check!W73</f>
        <v>3</v>
      </c>
      <c r="K72">
        <f>raw_check!Y73</f>
        <v>3</v>
      </c>
      <c r="L72">
        <f>raw_check!X73</f>
        <v>3</v>
      </c>
      <c r="M72">
        <f>raw_check!P73</f>
        <v>3</v>
      </c>
    </row>
    <row r="73" spans="1:13" x14ac:dyDescent="0.25">
      <c r="A73" t="s">
        <v>15</v>
      </c>
      <c r="B73" t="s">
        <v>121</v>
      </c>
      <c r="C73">
        <f>SUM(raw_check!C74,raw_check!E74,raw_check!G74,raw_check!I74,raw_check!K74)/5*100</f>
        <v>80</v>
      </c>
      <c r="D73">
        <f>AVEDEV(raw_check!D74,raw_check!F74,raw_check!H74,raw_check!J74,raw_check!L74)</f>
        <v>23.543520000000008</v>
      </c>
      <c r="E73">
        <f>raw_check!M74</f>
        <v>4</v>
      </c>
      <c r="F73">
        <f>AVERAGE(raw_check!O74,raw_check!Q74,raw_check!U74)</f>
        <v>3.6666666666666665</v>
      </c>
      <c r="G73">
        <f>raw_check!R74</f>
        <v>4</v>
      </c>
      <c r="H73">
        <f>raw_check!S74</f>
        <v>4</v>
      </c>
      <c r="I73">
        <f>raw_check!V74</f>
        <v>5</v>
      </c>
      <c r="J73">
        <f>6-raw_check!W74</f>
        <v>2</v>
      </c>
      <c r="K73">
        <f>raw_check!Y74</f>
        <v>5</v>
      </c>
      <c r="L73">
        <f>raw_check!X74</f>
        <v>5</v>
      </c>
      <c r="M73">
        <f>raw_check!P74</f>
        <v>5</v>
      </c>
    </row>
    <row r="74" spans="1:13" x14ac:dyDescent="0.25">
      <c r="A74" t="s">
        <v>15</v>
      </c>
      <c r="B74" t="s">
        <v>122</v>
      </c>
      <c r="C74">
        <f>SUM(raw_check!C75,raw_check!E75,raw_check!G75,raw_check!I75,raw_check!K75)/5*100</f>
        <v>80</v>
      </c>
      <c r="D74">
        <f>AVEDEV(raw_check!D75,raw_check!F75,raw_check!H75,raw_check!J75,raw_check!L75)</f>
        <v>28.902160000000002</v>
      </c>
      <c r="E74">
        <f>raw_check!M75</f>
        <v>3</v>
      </c>
      <c r="F74">
        <f>AVERAGE(raw_check!O75,raw_check!Q75,raw_check!U75)</f>
        <v>4</v>
      </c>
      <c r="G74">
        <f>raw_check!R75</f>
        <v>5</v>
      </c>
      <c r="H74">
        <f>raw_check!S75</f>
        <v>5</v>
      </c>
      <c r="I74">
        <f>raw_check!V75</f>
        <v>4</v>
      </c>
      <c r="J74">
        <f>6-raw_check!W75</f>
        <v>1</v>
      </c>
      <c r="K74">
        <f>raw_check!Y75</f>
        <v>4</v>
      </c>
      <c r="L74">
        <f>raw_check!X75</f>
        <v>5</v>
      </c>
      <c r="M74">
        <f>raw_check!P75</f>
        <v>5</v>
      </c>
    </row>
    <row r="75" spans="1:13" x14ac:dyDescent="0.25">
      <c r="A75" t="s">
        <v>15</v>
      </c>
      <c r="B75" t="s">
        <v>123</v>
      </c>
      <c r="C75">
        <f>SUM(raw_check!C76,raw_check!E76,raw_check!G76,raw_check!I76,raw_check!K76)/5*100</f>
        <v>80</v>
      </c>
      <c r="D75">
        <f>AVEDEV(raw_check!D76,raw_check!F76,raw_check!H76,raw_check!J76,raw_check!L76)</f>
        <v>21.385999999999996</v>
      </c>
      <c r="E75">
        <f>raw_check!M76</f>
        <v>3</v>
      </c>
      <c r="F75">
        <f>AVERAGE(raw_check!O76,raw_check!Q76,raw_check!U76)</f>
        <v>3.3333333333333335</v>
      </c>
      <c r="G75">
        <f>raw_check!R76</f>
        <v>5</v>
      </c>
      <c r="H75">
        <f>raw_check!S76</f>
        <v>4</v>
      </c>
      <c r="I75">
        <f>raw_check!V76</f>
        <v>5</v>
      </c>
      <c r="J75">
        <f>6-raw_check!W76</f>
        <v>4</v>
      </c>
      <c r="K75">
        <f>raw_check!Y76</f>
        <v>4</v>
      </c>
      <c r="L75">
        <f>raw_check!X76</f>
        <v>3</v>
      </c>
      <c r="M75">
        <f>raw_check!P76</f>
        <v>2</v>
      </c>
    </row>
    <row r="76" spans="1:13" x14ac:dyDescent="0.25">
      <c r="A76" t="s">
        <v>15</v>
      </c>
      <c r="B76" t="s">
        <v>124</v>
      </c>
      <c r="C76">
        <f>SUM(raw_check!C77,raw_check!E77,raw_check!G77,raw_check!I77,raw_check!K77)/5*100</f>
        <v>80</v>
      </c>
      <c r="D76">
        <f>AVEDEV(raw_check!D77,raw_check!F77,raw_check!H77,raw_check!J77,raw_check!L77)</f>
        <v>35.056959999999997</v>
      </c>
      <c r="E76">
        <f>raw_check!M77</f>
        <v>3</v>
      </c>
      <c r="F76">
        <f>AVERAGE(raw_check!O77,raw_check!Q77,raw_check!U77)</f>
        <v>3.6666666666666665</v>
      </c>
      <c r="G76">
        <f>raw_check!R77</f>
        <v>5</v>
      </c>
      <c r="H76">
        <f>raw_check!S77</f>
        <v>4</v>
      </c>
      <c r="I76">
        <f>raw_check!V77</f>
        <v>5</v>
      </c>
      <c r="J76">
        <f>6-raw_check!W77</f>
        <v>1</v>
      </c>
      <c r="K76">
        <f>raw_check!Y77</f>
        <v>5</v>
      </c>
      <c r="L76">
        <f>raw_check!X77</f>
        <v>5</v>
      </c>
      <c r="M76">
        <f>raw_check!P77</f>
        <v>4</v>
      </c>
    </row>
    <row r="77" spans="1:13" x14ac:dyDescent="0.25">
      <c r="A77" t="s">
        <v>15</v>
      </c>
      <c r="B77" t="s">
        <v>125</v>
      </c>
      <c r="C77">
        <f>SUM(raw_check!C78,raw_check!E78,raw_check!G78,raw_check!I78,raw_check!K78)/5*100</f>
        <v>80</v>
      </c>
      <c r="D77">
        <f>AVEDEV(raw_check!D78,raw_check!F78,raw_check!H78,raw_check!J78,raw_check!L78)</f>
        <v>20.006399999999996</v>
      </c>
      <c r="E77">
        <f>raw_check!M78</f>
        <v>4</v>
      </c>
      <c r="F77">
        <f>AVERAGE(raw_check!O78,raw_check!Q78,raw_check!U78)</f>
        <v>2.3333333333333335</v>
      </c>
      <c r="G77">
        <f>raw_check!R78</f>
        <v>3</v>
      </c>
      <c r="H77">
        <f>raw_check!S78</f>
        <v>4</v>
      </c>
      <c r="I77">
        <f>raw_check!V78</f>
        <v>4</v>
      </c>
      <c r="J77">
        <f>6-raw_check!W78</f>
        <v>2</v>
      </c>
      <c r="K77">
        <f>raw_check!Y78</f>
        <v>3</v>
      </c>
      <c r="L77">
        <f>raw_check!X78</f>
        <v>2</v>
      </c>
      <c r="M77">
        <f>raw_check!P78</f>
        <v>3</v>
      </c>
    </row>
    <row r="78" spans="1:13" x14ac:dyDescent="0.25">
      <c r="A78" t="s">
        <v>15</v>
      </c>
      <c r="B78" t="s">
        <v>126</v>
      </c>
      <c r="C78">
        <f>SUM(raw_check!C79,raw_check!E79,raw_check!G79,raw_check!I79,raw_check!K79)/5*100</f>
        <v>80</v>
      </c>
      <c r="D78">
        <f>AVEDEV(raw_check!D79,raw_check!F79,raw_check!H79,raw_check!J79,raw_check!L79)</f>
        <v>39.52559999999999</v>
      </c>
      <c r="E78">
        <f>raw_check!M79</f>
        <v>3</v>
      </c>
      <c r="F78">
        <f>AVERAGE(raw_check!O79,raw_check!Q79,raw_check!U79)</f>
        <v>3</v>
      </c>
      <c r="G78">
        <f>raw_check!R79</f>
        <v>3</v>
      </c>
      <c r="H78">
        <f>raw_check!S79</f>
        <v>3</v>
      </c>
      <c r="I78">
        <f>raw_check!V79</f>
        <v>3</v>
      </c>
      <c r="J78">
        <f>6-raw_check!W79</f>
        <v>3</v>
      </c>
      <c r="K78">
        <f>raw_check!Y79</f>
        <v>3</v>
      </c>
      <c r="L78">
        <f>raw_check!X79</f>
        <v>3</v>
      </c>
      <c r="M78">
        <f>raw_check!P79</f>
        <v>3</v>
      </c>
    </row>
    <row r="79" spans="1:13" x14ac:dyDescent="0.25">
      <c r="A79" t="s">
        <v>15</v>
      </c>
      <c r="B79" t="s">
        <v>127</v>
      </c>
      <c r="C79">
        <f>SUM(raw_check!C80,raw_check!E80,raw_check!G80,raw_check!I80,raw_check!K80)/5*100</f>
        <v>100</v>
      </c>
      <c r="D79">
        <f>AVEDEV(raw_check!D80,raw_check!F80,raw_check!H80,raw_check!J80,raw_check!L80)</f>
        <v>34.326880000000003</v>
      </c>
      <c r="E79">
        <f>raw_check!M80</f>
        <v>4</v>
      </c>
      <c r="F79">
        <f>AVERAGE(raw_check!O80,raw_check!Q80,raw_check!U80)</f>
        <v>3.6666666666666665</v>
      </c>
      <c r="G79">
        <f>raw_check!R80</f>
        <v>4</v>
      </c>
      <c r="H79">
        <f>raw_check!S80</f>
        <v>4</v>
      </c>
      <c r="I79">
        <f>raw_check!V80</f>
        <v>5</v>
      </c>
      <c r="J79">
        <f>6-raw_check!W80</f>
        <v>2</v>
      </c>
      <c r="K79">
        <f>raw_check!Y80</f>
        <v>5</v>
      </c>
      <c r="L79">
        <f>raw_check!X80</f>
        <v>5</v>
      </c>
      <c r="M79">
        <f>raw_check!P80</f>
        <v>5</v>
      </c>
    </row>
    <row r="80" spans="1:13" x14ac:dyDescent="0.25">
      <c r="A80" t="s">
        <v>15</v>
      </c>
      <c r="B80" t="s">
        <v>128</v>
      </c>
      <c r="C80">
        <f>SUM(raw_check!C81,raw_check!E81,raw_check!G81,raw_check!I81,raw_check!K81)/5*100</f>
        <v>100</v>
      </c>
      <c r="D80">
        <f>AVEDEV(raw_check!D81,raw_check!F81,raw_check!H81,raw_check!J81,raw_check!L81)</f>
        <v>44.46472</v>
      </c>
      <c r="E80">
        <f>raw_check!M81</f>
        <v>4</v>
      </c>
      <c r="F80">
        <f>AVERAGE(raw_check!O81,raw_check!Q81,raw_check!U81)</f>
        <v>4</v>
      </c>
      <c r="G80">
        <f>raw_check!R81</f>
        <v>5</v>
      </c>
      <c r="H80">
        <f>raw_check!S81</f>
        <v>5</v>
      </c>
      <c r="I80">
        <f>raw_check!V81</f>
        <v>4</v>
      </c>
      <c r="J80">
        <f>6-raw_check!W81</f>
        <v>1</v>
      </c>
      <c r="K80">
        <f>raw_check!Y81</f>
        <v>4</v>
      </c>
      <c r="L80">
        <f>raw_check!X81</f>
        <v>5</v>
      </c>
      <c r="M80">
        <f>raw_check!P81</f>
        <v>5</v>
      </c>
    </row>
    <row r="81" spans="1:13" x14ac:dyDescent="0.25">
      <c r="A81" t="s">
        <v>15</v>
      </c>
      <c r="B81" t="s">
        <v>129</v>
      </c>
      <c r="C81">
        <f>SUM(raw_check!C82,raw_check!E82,raw_check!G82,raw_check!I82,raw_check!K82)/5*100</f>
        <v>100</v>
      </c>
      <c r="D81">
        <f>AVEDEV(raw_check!D82,raw_check!F82,raw_check!H82,raw_check!J82,raw_check!L82)</f>
        <v>60.80655999999999</v>
      </c>
      <c r="E81">
        <f>raw_check!M82</f>
        <v>4</v>
      </c>
      <c r="F81">
        <f>AVERAGE(raw_check!O82,raw_check!Q82,raw_check!U82)</f>
        <v>3.3333333333333335</v>
      </c>
      <c r="G81">
        <f>raw_check!R82</f>
        <v>5</v>
      </c>
      <c r="H81">
        <f>raw_check!S82</f>
        <v>4</v>
      </c>
      <c r="I81">
        <f>raw_check!V82</f>
        <v>5</v>
      </c>
      <c r="J81">
        <f>6-raw_check!W82</f>
        <v>4</v>
      </c>
      <c r="K81">
        <f>raw_check!Y82</f>
        <v>4</v>
      </c>
      <c r="L81">
        <f>raw_check!X82</f>
        <v>3</v>
      </c>
      <c r="M81">
        <f>raw_check!P82</f>
        <v>2</v>
      </c>
    </row>
    <row r="82" spans="1:13" x14ac:dyDescent="0.25">
      <c r="A82" t="s">
        <v>15</v>
      </c>
      <c r="B82" t="s">
        <v>130</v>
      </c>
      <c r="C82">
        <f>SUM(raw_check!C83,raw_check!E83,raw_check!G83,raw_check!I83,raw_check!K83)/5*100</f>
        <v>100</v>
      </c>
      <c r="D82">
        <f>AVEDEV(raw_check!D83,raw_check!F83,raw_check!H83,raw_check!J83,raw_check!L83)</f>
        <v>31.460559999999997</v>
      </c>
      <c r="E82">
        <f>raw_check!M83</f>
        <v>3</v>
      </c>
      <c r="F82">
        <f>AVERAGE(raw_check!O83,raw_check!Q83,raw_check!U83)</f>
        <v>3.6666666666666665</v>
      </c>
      <c r="G82">
        <f>raw_check!R83</f>
        <v>5</v>
      </c>
      <c r="H82">
        <f>raw_check!S83</f>
        <v>4</v>
      </c>
      <c r="I82">
        <f>raw_check!V83</f>
        <v>5</v>
      </c>
      <c r="J82">
        <f>6-raw_check!W83</f>
        <v>1</v>
      </c>
      <c r="K82">
        <f>raw_check!Y83</f>
        <v>5</v>
      </c>
      <c r="L82">
        <f>raw_check!X83</f>
        <v>5</v>
      </c>
      <c r="M82">
        <f>raw_check!P83</f>
        <v>4</v>
      </c>
    </row>
    <row r="83" spans="1:13" x14ac:dyDescent="0.25">
      <c r="A83" t="s">
        <v>15</v>
      </c>
      <c r="B83" t="s">
        <v>131</v>
      </c>
      <c r="C83">
        <f>SUM(raw_check!C84,raw_check!E84,raw_check!G84,raw_check!I84,raw_check!K84)/5*100</f>
        <v>100</v>
      </c>
      <c r="D83">
        <f>AVEDEV(raw_check!D84,raw_check!F84,raw_check!H84,raw_check!J84,raw_check!L84)</f>
        <v>25.358399999999996</v>
      </c>
      <c r="E83">
        <f>raw_check!M84</f>
        <v>4</v>
      </c>
      <c r="F83">
        <f>AVERAGE(raw_check!O84,raw_check!Q84,raw_check!U84)</f>
        <v>2.3333333333333335</v>
      </c>
      <c r="G83">
        <f>raw_check!R84</f>
        <v>3</v>
      </c>
      <c r="H83">
        <f>raw_check!S84</f>
        <v>4</v>
      </c>
      <c r="I83">
        <f>raw_check!V84</f>
        <v>4</v>
      </c>
      <c r="J83">
        <f>6-raw_check!W84</f>
        <v>2</v>
      </c>
      <c r="K83">
        <f>raw_check!Y84</f>
        <v>3</v>
      </c>
      <c r="L83">
        <f>raw_check!X84</f>
        <v>2</v>
      </c>
      <c r="M83">
        <f>raw_check!P84</f>
        <v>3</v>
      </c>
    </row>
    <row r="84" spans="1:13" x14ac:dyDescent="0.25">
      <c r="A84" t="s">
        <v>15</v>
      </c>
      <c r="B84" t="s">
        <v>132</v>
      </c>
      <c r="C84">
        <f>SUM(raw_check!C85,raw_check!E85,raw_check!G85,raw_check!I85,raw_check!K85)/5*100</f>
        <v>100</v>
      </c>
      <c r="D84">
        <f>AVEDEV(raw_check!D85,raw_check!F85,raw_check!H85,raw_check!J85,raw_check!L85)</f>
        <v>25.134239999999998</v>
      </c>
      <c r="E84">
        <f>raw_check!M85</f>
        <v>4</v>
      </c>
      <c r="F84">
        <f>AVERAGE(raw_check!O85,raw_check!Q85,raw_check!U85)</f>
        <v>2.6666666666666665</v>
      </c>
      <c r="G84">
        <f>raw_check!R85</f>
        <v>3</v>
      </c>
      <c r="H84">
        <f>raw_check!S85</f>
        <v>4</v>
      </c>
      <c r="I84">
        <f>raw_check!V85</f>
        <v>4</v>
      </c>
      <c r="J84">
        <f>6-raw_check!W85</f>
        <v>2</v>
      </c>
      <c r="K84">
        <f>raw_check!Y85</f>
        <v>4</v>
      </c>
      <c r="L84">
        <f>raw_check!X85</f>
        <v>4</v>
      </c>
      <c r="M84">
        <f>raw_check!P85</f>
        <v>2</v>
      </c>
    </row>
    <row r="85" spans="1:13" x14ac:dyDescent="0.25">
      <c r="A85" t="s">
        <v>15</v>
      </c>
      <c r="B85" t="s">
        <v>133</v>
      </c>
      <c r="C85">
        <f>SUM(raw_check!C86,raw_check!E86,raw_check!G86,raw_check!I86,raw_check!K86)/5*100</f>
        <v>100</v>
      </c>
      <c r="D85">
        <f>AVEDEV(raw_check!D86,raw_check!F86,raw_check!H86,raw_check!J86,raw_check!L86)</f>
        <v>21.780480000000001</v>
      </c>
      <c r="E85">
        <f>raw_check!M86</f>
        <v>2</v>
      </c>
      <c r="F85">
        <f>AVERAGE(raw_check!O86,raw_check!Q86,raw_check!U86)</f>
        <v>4.666666666666667</v>
      </c>
      <c r="G85">
        <f>raw_check!R86</f>
        <v>5</v>
      </c>
      <c r="H85">
        <f>raw_check!S86</f>
        <v>4</v>
      </c>
      <c r="I85">
        <f>raw_check!V86</f>
        <v>5</v>
      </c>
      <c r="J85">
        <f>6-raw_check!W86</f>
        <v>2</v>
      </c>
      <c r="K85">
        <f>raw_check!Y86</f>
        <v>5</v>
      </c>
      <c r="L85">
        <f>raw_check!X86</f>
        <v>5</v>
      </c>
      <c r="M85">
        <f>raw_check!P86</f>
        <v>5</v>
      </c>
    </row>
    <row r="86" spans="1:13" x14ac:dyDescent="0.25">
      <c r="A86" t="s">
        <v>15</v>
      </c>
      <c r="B86" t="s">
        <v>134</v>
      </c>
      <c r="C86">
        <f>SUM(raw_check!C87,raw_check!E87,raw_check!G87,raw_check!I87,raw_check!K87)/5*100</f>
        <v>80</v>
      </c>
      <c r="D86">
        <f>AVEDEV(raw_check!D87,raw_check!F87,raw_check!H87,raw_check!J87,raw_check!L87)</f>
        <v>23.611840000000001</v>
      </c>
      <c r="E86">
        <f>raw_check!M87</f>
        <v>4</v>
      </c>
      <c r="F86">
        <f>AVERAGE(raw_check!O87,raw_check!Q87,raw_check!U87)</f>
        <v>4.666666666666667</v>
      </c>
      <c r="G86">
        <f>raw_check!R87</f>
        <v>4</v>
      </c>
      <c r="H86">
        <f>raw_check!S87</f>
        <v>3</v>
      </c>
      <c r="I86">
        <f>raw_check!V87</f>
        <v>5</v>
      </c>
      <c r="J86">
        <f>6-raw_check!W87</f>
        <v>3</v>
      </c>
      <c r="K86">
        <f>raw_check!Y87</f>
        <v>4</v>
      </c>
      <c r="L86">
        <f>raw_check!X87</f>
        <v>4</v>
      </c>
      <c r="M86">
        <f>raw_check!P87</f>
        <v>5</v>
      </c>
    </row>
    <row r="87" spans="1:13" x14ac:dyDescent="0.25">
      <c r="A87" t="s">
        <v>15</v>
      </c>
      <c r="B87" t="s">
        <v>135</v>
      </c>
      <c r="C87">
        <f>SUM(raw_check!C88,raw_check!E88,raw_check!G88,raw_check!I88,raw_check!K88)/5*100</f>
        <v>100</v>
      </c>
      <c r="D87">
        <f>AVEDEV(raw_check!D88,raw_check!F88,raw_check!H88,raw_check!J88,raw_check!L88)</f>
        <v>34.554320000000004</v>
      </c>
      <c r="E87">
        <f>raw_check!M88</f>
        <v>4</v>
      </c>
      <c r="F87">
        <f>AVERAGE(raw_check!O88,raw_check!Q88,raw_check!U88)</f>
        <v>4</v>
      </c>
      <c r="G87">
        <f>raw_check!R88</f>
        <v>4</v>
      </c>
      <c r="H87">
        <f>raw_check!S88</f>
        <v>5</v>
      </c>
      <c r="I87">
        <f>raw_check!V88</f>
        <v>5</v>
      </c>
      <c r="J87">
        <f>6-raw_check!W88</f>
        <v>2</v>
      </c>
      <c r="K87">
        <f>raw_check!Y88</f>
        <v>4</v>
      </c>
      <c r="L87">
        <f>raw_check!X88</f>
        <v>4</v>
      </c>
      <c r="M87">
        <f>raw_check!P88</f>
        <v>5</v>
      </c>
    </row>
    <row r="88" spans="1:13" x14ac:dyDescent="0.25">
      <c r="A88" t="s">
        <v>15</v>
      </c>
      <c r="B88" t="s">
        <v>136</v>
      </c>
      <c r="C88">
        <f>SUM(raw_check!C89,raw_check!E89,raw_check!G89,raw_check!I89,raw_check!K89)/5*100</f>
        <v>80</v>
      </c>
      <c r="D88">
        <f>AVEDEV(raw_check!D89,raw_check!F89,raw_check!H89,raw_check!J89,raw_check!L89)</f>
        <v>28.841760000000001</v>
      </c>
      <c r="E88">
        <f>raw_check!M89</f>
        <v>5</v>
      </c>
      <c r="F88">
        <f>AVERAGE(raw_check!O89,raw_check!Q89,raw_check!U89)</f>
        <v>2.6666666666666665</v>
      </c>
      <c r="G88">
        <f>raw_check!R89</f>
        <v>3</v>
      </c>
      <c r="H88">
        <f>raw_check!S89</f>
        <v>4</v>
      </c>
      <c r="I88">
        <f>raw_check!V89</f>
        <v>5</v>
      </c>
      <c r="J88">
        <f>6-raw_check!W89</f>
        <v>2</v>
      </c>
      <c r="K88">
        <f>raw_check!Y89</f>
        <v>5</v>
      </c>
      <c r="L88">
        <f>raw_check!X89</f>
        <v>4</v>
      </c>
      <c r="M88">
        <f>raw_check!P89</f>
        <v>4</v>
      </c>
    </row>
    <row r="89" spans="1:13" x14ac:dyDescent="0.25">
      <c r="A89" t="s">
        <v>15</v>
      </c>
      <c r="B89" t="s">
        <v>137</v>
      </c>
      <c r="C89">
        <f>SUM(raw_check!C90,raw_check!E90,raw_check!G90,raw_check!I90,raw_check!K90)/5*100</f>
        <v>80</v>
      </c>
      <c r="D89">
        <f>AVEDEV(raw_check!D90,raw_check!F90,raw_check!H90,raw_check!J90,raw_check!L90)</f>
        <v>35.702239999999996</v>
      </c>
      <c r="E89">
        <f>raw_check!M90</f>
        <v>4</v>
      </c>
      <c r="F89">
        <f>AVERAGE(raw_check!O90,raw_check!Q90,raw_check!U90)</f>
        <v>3.3333333333333335</v>
      </c>
      <c r="G89">
        <f>raw_check!R90</f>
        <v>5</v>
      </c>
      <c r="H89">
        <f>raw_check!S90</f>
        <v>4</v>
      </c>
      <c r="I89">
        <f>raw_check!V90</f>
        <v>5</v>
      </c>
      <c r="J89">
        <f>6-raw_check!W90</f>
        <v>2</v>
      </c>
      <c r="K89">
        <f>raw_check!Y90</f>
        <v>5</v>
      </c>
      <c r="L89">
        <f>raw_check!X90</f>
        <v>4</v>
      </c>
      <c r="M89">
        <f>raw_check!P90</f>
        <v>3</v>
      </c>
    </row>
    <row r="90" spans="1:13" x14ac:dyDescent="0.25">
      <c r="A90" t="s">
        <v>15</v>
      </c>
      <c r="B90" t="s">
        <v>138</v>
      </c>
      <c r="C90">
        <f>SUM(raw_check!C91,raw_check!E91,raw_check!G91,raw_check!I91,raw_check!K91)/5*100</f>
        <v>100</v>
      </c>
      <c r="D90">
        <f>AVEDEV(raw_check!D91,raw_check!F91,raw_check!H91,raw_check!J91,raw_check!L91)</f>
        <v>50.031680000000001</v>
      </c>
      <c r="E90">
        <f>raw_check!M91</f>
        <v>4</v>
      </c>
      <c r="F90">
        <f>AVERAGE(raw_check!O91,raw_check!Q91,raw_check!U91)</f>
        <v>3.3333333333333335</v>
      </c>
      <c r="G90">
        <f>raw_check!R91</f>
        <v>4</v>
      </c>
      <c r="H90">
        <f>raw_check!S91</f>
        <v>4</v>
      </c>
      <c r="I90">
        <f>raw_check!V91</f>
        <v>5</v>
      </c>
      <c r="J90">
        <f>6-raw_check!W91</f>
        <v>3</v>
      </c>
      <c r="K90">
        <f>raw_check!Y91</f>
        <v>5</v>
      </c>
      <c r="L90">
        <f>raw_check!X91</f>
        <v>4</v>
      </c>
      <c r="M90">
        <f>raw_check!P91</f>
        <v>3</v>
      </c>
    </row>
    <row r="91" spans="1:13" x14ac:dyDescent="0.25">
      <c r="A91" t="s">
        <v>15</v>
      </c>
      <c r="B91" t="s">
        <v>139</v>
      </c>
      <c r="C91">
        <f>SUM(raw_check!C92,raw_check!E92,raw_check!G92,raw_check!I92,raw_check!K92)/5*100</f>
        <v>100</v>
      </c>
      <c r="D91">
        <f>AVEDEV(raw_check!D92,raw_check!F92,raw_check!H92,raw_check!J92,raw_check!L92)</f>
        <v>39.989840000000001</v>
      </c>
      <c r="E91">
        <f>raw_check!M92</f>
        <v>4</v>
      </c>
      <c r="F91">
        <f>AVERAGE(raw_check!O92,raw_check!Q92,raw_check!U92)</f>
        <v>3</v>
      </c>
      <c r="G91">
        <f>raw_check!R92</f>
        <v>3</v>
      </c>
      <c r="H91">
        <f>raw_check!S92</f>
        <v>3</v>
      </c>
      <c r="I91">
        <f>raw_check!V92</f>
        <v>4</v>
      </c>
      <c r="J91">
        <f>6-raw_check!W92</f>
        <v>2</v>
      </c>
      <c r="K91">
        <f>raw_check!Y92</f>
        <v>4</v>
      </c>
      <c r="L91">
        <f>raw_check!X92</f>
        <v>3</v>
      </c>
      <c r="M91">
        <f>raw_check!P92</f>
        <v>4</v>
      </c>
    </row>
    <row r="92" spans="1:13" x14ac:dyDescent="0.25">
      <c r="A92" t="s">
        <v>15</v>
      </c>
      <c r="B92" t="s">
        <v>140</v>
      </c>
      <c r="C92">
        <f>SUM(raw_check!C93,raw_check!E93,raw_check!G93,raw_check!I93,raw_check!K93)/5*100</f>
        <v>80</v>
      </c>
      <c r="D92">
        <f>AVEDEV(raw_check!D93,raw_check!F93,raw_check!H93,raw_check!J93,raw_check!L93)</f>
        <v>38.10304</v>
      </c>
      <c r="E92">
        <f>raw_check!M93</f>
        <v>3</v>
      </c>
      <c r="F92">
        <f>AVERAGE(raw_check!O93,raw_check!Q93,raw_check!U93)</f>
        <v>4.333333333333333</v>
      </c>
      <c r="G92">
        <f>raw_check!R93</f>
        <v>5</v>
      </c>
      <c r="H92">
        <f>raw_check!S93</f>
        <v>4</v>
      </c>
      <c r="I92">
        <f>raw_check!V93</f>
        <v>5</v>
      </c>
      <c r="J92">
        <f>6-raw_check!W93</f>
        <v>3</v>
      </c>
      <c r="K92">
        <f>raw_check!Y93</f>
        <v>4</v>
      </c>
      <c r="L92">
        <f>raw_check!X93</f>
        <v>4</v>
      </c>
      <c r="M92">
        <f>raw_check!P93</f>
        <v>4</v>
      </c>
    </row>
    <row r="93" spans="1:13" x14ac:dyDescent="0.25">
      <c r="A93" t="s">
        <v>15</v>
      </c>
      <c r="B93" t="s">
        <v>141</v>
      </c>
      <c r="C93">
        <f>SUM(raw_check!C94,raw_check!E94,raw_check!G94,raw_check!I94,raw_check!K94)/5*100</f>
        <v>100</v>
      </c>
      <c r="D93">
        <f>AVEDEV(raw_check!D94,raw_check!F94,raw_check!H94,raw_check!J94,raw_check!L94)</f>
        <v>14.641199999999998</v>
      </c>
      <c r="E93">
        <f>raw_check!M94</f>
        <v>3</v>
      </c>
      <c r="F93">
        <f>AVERAGE(raw_check!O94,raw_check!Q94,raw_check!U94)</f>
        <v>4</v>
      </c>
      <c r="G93">
        <f>raw_check!R94</f>
        <v>4</v>
      </c>
      <c r="H93">
        <f>raw_check!S94</f>
        <v>3</v>
      </c>
      <c r="I93">
        <f>raw_check!V94</f>
        <v>4</v>
      </c>
      <c r="J93">
        <f>6-raw_check!W94</f>
        <v>3</v>
      </c>
      <c r="K93">
        <f>raw_check!Y94</f>
        <v>4</v>
      </c>
      <c r="L93">
        <f>raw_check!X94</f>
        <v>3</v>
      </c>
      <c r="M93">
        <f>raw_check!P94</f>
        <v>3</v>
      </c>
    </row>
    <row r="94" spans="1:13" x14ac:dyDescent="0.25">
      <c r="A94" t="s">
        <v>15</v>
      </c>
      <c r="B94" t="s">
        <v>142</v>
      </c>
      <c r="C94">
        <f>SUM(raw_check!C95,raw_check!E95,raw_check!G95,raw_check!I95,raw_check!K95)/5*100</f>
        <v>100</v>
      </c>
      <c r="D94">
        <f>AVEDEV(raw_check!D95,raw_check!F95,raw_check!H95,raw_check!J95,raw_check!L95)</f>
        <v>29.134639999999997</v>
      </c>
      <c r="E94">
        <f>raw_check!M95</f>
        <v>3</v>
      </c>
      <c r="F94">
        <f>AVERAGE(raw_check!O95,raw_check!Q95,raw_check!U95)</f>
        <v>4.666666666666667</v>
      </c>
      <c r="G94">
        <f>raw_check!R95</f>
        <v>5</v>
      </c>
      <c r="H94">
        <f>raw_check!S95</f>
        <v>4</v>
      </c>
      <c r="I94">
        <f>raw_check!V95</f>
        <v>5</v>
      </c>
      <c r="J94">
        <f>6-raw_check!W95</f>
        <v>2</v>
      </c>
      <c r="K94">
        <f>raw_check!Y95</f>
        <v>4</v>
      </c>
      <c r="L94">
        <f>raw_check!X95</f>
        <v>4</v>
      </c>
      <c r="M94">
        <f>raw_check!P95</f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24BBBB7CC7241840CAB6AF27E037C" ma:contentTypeVersion="4" ma:contentTypeDescription="Create a new document." ma:contentTypeScope="" ma:versionID="b5711a97f4d38a560552329f054feae4">
  <xsd:schema xmlns:xsd="http://www.w3.org/2001/XMLSchema" xmlns:xs="http://www.w3.org/2001/XMLSchema" xmlns:p="http://schemas.microsoft.com/office/2006/metadata/properties" xmlns:ns3="ef87aa18-8165-49f6-85fe-7a150da90baa" targetNamespace="http://schemas.microsoft.com/office/2006/metadata/properties" ma:root="true" ma:fieldsID="716b625778cd5aff99cec01412b39df7" ns3:_="">
    <xsd:import namespace="ef87aa18-8165-49f6-85fe-7a150da90ba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7aa18-8165-49f6-85fe-7a150da90b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4975BE-C45D-48A4-AEDB-658E1AFA2F36}">
  <ds:schemaRefs>
    <ds:schemaRef ds:uri="http://purl.org/dc/elements/1.1/"/>
    <ds:schemaRef ds:uri="http://schemas.microsoft.com/office/infopath/2007/PartnerControls"/>
    <ds:schemaRef ds:uri="http://purl.org/dc/terms/"/>
    <ds:schemaRef ds:uri="ef87aa18-8165-49f6-85fe-7a150da90baa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09187A9-260B-4460-8DC5-90CFB970C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7aa18-8165-49f6-85fe-7a150da90b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57378F-C642-4447-837D-41AA5E2FDE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raw_check</vt:lpstr>
      <vt:lpstr>convert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Le</dc:creator>
  <cp:lastModifiedBy>Thien Le</cp:lastModifiedBy>
  <dcterms:created xsi:type="dcterms:W3CDTF">2025-10-30T08:32:48Z</dcterms:created>
  <dcterms:modified xsi:type="dcterms:W3CDTF">2025-12-03T15:51:42Z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0x0101007D424BBBB7CC7241840CAB6AF27E037C</vt:lpwstr>
  </property>
</Properties>
</file>